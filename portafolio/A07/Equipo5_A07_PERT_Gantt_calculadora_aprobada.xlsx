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e Mtz\Downloads\"/>
    </mc:Choice>
  </mc:AlternateContent>
  <xr:revisionPtr revIDLastSave="0" documentId="13_ncr:1_{A63F37A0-E7ED-4C3C-8879-8AD3A680318F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Léeme" sheetId="1" r:id="rId1"/>
    <sheet name="PERT" sheetId="2" r:id="rId2"/>
    <sheet name="Gantt" sheetId="3" r:id="rId3"/>
    <sheet name="Calendari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E37" i="3"/>
  <c r="E36" i="3"/>
  <c r="E35" i="3"/>
  <c r="E34" i="3"/>
  <c r="E33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G5" i="3"/>
  <c r="H5" i="3" s="1"/>
  <c r="G4" i="3"/>
  <c r="X30" i="2"/>
  <c r="M30" i="2"/>
  <c r="L30" i="2"/>
  <c r="X29" i="2"/>
  <c r="M29" i="2"/>
  <c r="L29" i="2"/>
  <c r="X28" i="2"/>
  <c r="M28" i="2"/>
  <c r="L28" i="2"/>
  <c r="X27" i="2"/>
  <c r="M27" i="2"/>
  <c r="L27" i="2"/>
  <c r="X26" i="2"/>
  <c r="M26" i="2"/>
  <c r="L26" i="2"/>
  <c r="X25" i="2"/>
  <c r="M25" i="2"/>
  <c r="L25" i="2"/>
  <c r="X24" i="2"/>
  <c r="M24" i="2"/>
  <c r="L24" i="2"/>
  <c r="X23" i="2"/>
  <c r="M23" i="2"/>
  <c r="L23" i="2"/>
  <c r="X22" i="2"/>
  <c r="M22" i="2"/>
  <c r="L22" i="2"/>
  <c r="X21" i="2"/>
  <c r="M21" i="2"/>
  <c r="L21" i="2"/>
  <c r="X20" i="2"/>
  <c r="M20" i="2"/>
  <c r="L20" i="2"/>
  <c r="X19" i="2"/>
  <c r="M19" i="2"/>
  <c r="L19" i="2"/>
  <c r="X18" i="2"/>
  <c r="M18" i="2"/>
  <c r="L18" i="2"/>
  <c r="X17" i="2"/>
  <c r="M17" i="2"/>
  <c r="L17" i="2"/>
  <c r="X16" i="2"/>
  <c r="M16" i="2"/>
  <c r="L16" i="2"/>
  <c r="X15" i="2"/>
  <c r="M15" i="2"/>
  <c r="L15" i="2"/>
  <c r="X14" i="2"/>
  <c r="M14" i="2"/>
  <c r="L14" i="2"/>
  <c r="X13" i="2"/>
  <c r="M13" i="2"/>
  <c r="L13" i="2"/>
  <c r="X12" i="2"/>
  <c r="M12" i="2"/>
  <c r="L12" i="2"/>
  <c r="X11" i="2"/>
  <c r="M11" i="2"/>
  <c r="L11" i="2"/>
  <c r="X10" i="2"/>
  <c r="M10" i="2"/>
  <c r="L10" i="2"/>
  <c r="X9" i="2"/>
  <c r="M9" i="2"/>
  <c r="L9" i="2"/>
  <c r="X8" i="2"/>
  <c r="M8" i="2"/>
  <c r="L8" i="2"/>
  <c r="X7" i="2"/>
  <c r="M7" i="2"/>
  <c r="L7" i="2"/>
  <c r="X6" i="2"/>
  <c r="M6" i="2"/>
  <c r="L6" i="2"/>
  <c r="N3" i="2"/>
  <c r="H3" i="2" l="1"/>
  <c r="L32" i="2" s="1"/>
  <c r="I5" i="3"/>
  <c r="H4" i="3"/>
  <c r="N6" i="2" l="1"/>
  <c r="T6" i="2" s="1"/>
  <c r="J5" i="3"/>
  <c r="I4" i="3"/>
  <c r="O6" i="2" l="1"/>
  <c r="K5" i="3"/>
  <c r="J4" i="3"/>
  <c r="U6" i="2"/>
  <c r="N9" i="2"/>
  <c r="N7" i="2"/>
  <c r="N10" i="2"/>
  <c r="D6" i="3"/>
  <c r="V6" i="2"/>
  <c r="E6" i="3" l="1"/>
  <c r="W6" i="2"/>
  <c r="T7" i="2"/>
  <c r="O7" i="2"/>
  <c r="T10" i="2"/>
  <c r="O10" i="2"/>
  <c r="U10" i="2" s="1"/>
  <c r="T9" i="2"/>
  <c r="O9" i="2"/>
  <c r="L5" i="3"/>
  <c r="K4" i="3"/>
  <c r="E10" i="3" l="1"/>
  <c r="W10" i="2"/>
  <c r="D9" i="3"/>
  <c r="V9" i="2"/>
  <c r="D7" i="3"/>
  <c r="V7" i="2"/>
  <c r="D10" i="3"/>
  <c r="V10" i="2"/>
  <c r="M5" i="3"/>
  <c r="L4" i="3"/>
  <c r="U9" i="2"/>
  <c r="N11" i="2"/>
  <c r="U7" i="2"/>
  <c r="N8" i="2"/>
  <c r="E9" i="3" l="1"/>
  <c r="W9" i="2"/>
  <c r="T11" i="2"/>
  <c r="O11" i="2"/>
  <c r="U11" i="2" s="1"/>
  <c r="T8" i="2"/>
  <c r="O8" i="2"/>
  <c r="E7" i="3"/>
  <c r="W7" i="2"/>
  <c r="N5" i="3"/>
  <c r="M4" i="3"/>
  <c r="E11" i="3" l="1"/>
  <c r="W11" i="2"/>
  <c r="D11" i="3"/>
  <c r="V11" i="2"/>
  <c r="O5" i="3"/>
  <c r="N4" i="3"/>
  <c r="U8" i="2"/>
  <c r="N12" i="2"/>
  <c r="D8" i="3"/>
  <c r="V8" i="2"/>
  <c r="T12" i="2" l="1"/>
  <c r="O12" i="2"/>
  <c r="E8" i="3"/>
  <c r="W8" i="2"/>
  <c r="P5" i="3"/>
  <c r="O4" i="3"/>
  <c r="Q5" i="3" l="1"/>
  <c r="P4" i="3"/>
  <c r="U12" i="2"/>
  <c r="N16" i="2"/>
  <c r="N13" i="2"/>
  <c r="N14" i="2"/>
  <c r="D12" i="3"/>
  <c r="V12" i="2"/>
  <c r="E12" i="3" l="1"/>
  <c r="W12" i="2"/>
  <c r="T14" i="2"/>
  <c r="O14" i="2"/>
  <c r="T16" i="2"/>
  <c r="O16" i="2"/>
  <c r="U16" i="2" s="1"/>
  <c r="T13" i="2"/>
  <c r="O13" i="2"/>
  <c r="R5" i="3"/>
  <c r="Q4" i="3"/>
  <c r="D13" i="3" l="1"/>
  <c r="V13" i="2"/>
  <c r="D14" i="3"/>
  <c r="V14" i="2"/>
  <c r="E16" i="3"/>
  <c r="W16" i="2"/>
  <c r="D16" i="3"/>
  <c r="V16" i="2"/>
  <c r="S5" i="3"/>
  <c r="R4" i="3"/>
  <c r="U13" i="2"/>
  <c r="U14" i="2"/>
  <c r="N17" i="2"/>
  <c r="N15" i="2"/>
  <c r="E13" i="3" l="1"/>
  <c r="W13" i="2"/>
  <c r="T17" i="2"/>
  <c r="O17" i="2"/>
  <c r="T15" i="2"/>
  <c r="O15" i="2"/>
  <c r="E14" i="3"/>
  <c r="W14" i="2"/>
  <c r="T5" i="3"/>
  <c r="S4" i="3"/>
  <c r="U5" i="3" l="1"/>
  <c r="T4" i="3"/>
  <c r="U17" i="2"/>
  <c r="N19" i="2"/>
  <c r="N18" i="2"/>
  <c r="N21" i="2"/>
  <c r="D17" i="3"/>
  <c r="V17" i="2"/>
  <c r="U15" i="2"/>
  <c r="N23" i="2"/>
  <c r="N20" i="2"/>
  <c r="D15" i="3"/>
  <c r="V15" i="2"/>
  <c r="O23" i="2" l="1"/>
  <c r="U23" i="2" s="1"/>
  <c r="T23" i="2"/>
  <c r="T19" i="2"/>
  <c r="O19" i="2"/>
  <c r="U19" i="2" s="1"/>
  <c r="T20" i="2"/>
  <c r="O20" i="2"/>
  <c r="E17" i="3"/>
  <c r="W17" i="2"/>
  <c r="O21" i="2"/>
  <c r="T21" i="2"/>
  <c r="E15" i="3"/>
  <c r="W15" i="2"/>
  <c r="T18" i="2"/>
  <c r="O18" i="2"/>
  <c r="V5" i="3"/>
  <c r="U4" i="3"/>
  <c r="D18" i="3" l="1"/>
  <c r="V18" i="2"/>
  <c r="E19" i="3"/>
  <c r="W19" i="2"/>
  <c r="U18" i="2"/>
  <c r="N22" i="2"/>
  <c r="U21" i="2"/>
  <c r="N24" i="2"/>
  <c r="W5" i="3"/>
  <c r="V4" i="3"/>
  <c r="D19" i="3"/>
  <c r="V19" i="2"/>
  <c r="D21" i="3"/>
  <c r="V21" i="2"/>
  <c r="U20" i="2"/>
  <c r="N25" i="2"/>
  <c r="D23" i="3"/>
  <c r="V23" i="2"/>
  <c r="D20" i="3"/>
  <c r="V20" i="2"/>
  <c r="E23" i="3"/>
  <c r="W23" i="2"/>
  <c r="T24" i="2" l="1"/>
  <c r="O24" i="2"/>
  <c r="U24" i="2" s="1"/>
  <c r="O25" i="2"/>
  <c r="U25" i="2" s="1"/>
  <c r="T25" i="2"/>
  <c r="E20" i="3"/>
  <c r="W20" i="2"/>
  <c r="E21" i="3"/>
  <c r="W21" i="2"/>
  <c r="T22" i="2"/>
  <c r="O22" i="2"/>
  <c r="X5" i="3"/>
  <c r="W4" i="3"/>
  <c r="E18" i="3"/>
  <c r="W18" i="2"/>
  <c r="D25" i="3" l="1"/>
  <c r="V25" i="2"/>
  <c r="Y5" i="3"/>
  <c r="X4" i="3"/>
  <c r="E25" i="3"/>
  <c r="W25" i="2"/>
  <c r="U22" i="2"/>
  <c r="N26" i="2"/>
  <c r="N27" i="2"/>
  <c r="E24" i="3"/>
  <c r="W24" i="2"/>
  <c r="D22" i="3"/>
  <c r="V22" i="2"/>
  <c r="D24" i="3"/>
  <c r="V24" i="2"/>
  <c r="T26" i="2" l="1"/>
  <c r="O26" i="2"/>
  <c r="E22" i="3"/>
  <c r="W22" i="2"/>
  <c r="Z5" i="3"/>
  <c r="Y4" i="3"/>
  <c r="O27" i="2"/>
  <c r="U27" i="2" s="1"/>
  <c r="T27" i="2"/>
  <c r="D27" i="3" l="1"/>
  <c r="V27" i="2"/>
  <c r="E27" i="3"/>
  <c r="W27" i="2"/>
  <c r="U26" i="2"/>
  <c r="N28" i="2"/>
  <c r="AA5" i="3"/>
  <c r="Z4" i="3"/>
  <c r="D26" i="3"/>
  <c r="V26" i="2"/>
  <c r="AB5" i="3" l="1"/>
  <c r="AA4" i="3"/>
  <c r="T28" i="2"/>
  <c r="O28" i="2"/>
  <c r="E26" i="3"/>
  <c r="W26" i="2"/>
  <c r="U28" i="2" l="1"/>
  <c r="N29" i="2"/>
  <c r="D28" i="3"/>
  <c r="V28" i="2"/>
  <c r="AC5" i="3"/>
  <c r="AB4" i="3"/>
  <c r="O29" i="2" l="1"/>
  <c r="T29" i="2"/>
  <c r="AD5" i="3"/>
  <c r="AC4" i="3"/>
  <c r="E28" i="3"/>
  <c r="W28" i="2"/>
  <c r="AE5" i="3" l="1"/>
  <c r="AD4" i="3"/>
  <c r="D29" i="3"/>
  <c r="V29" i="2"/>
  <c r="U29" i="2"/>
  <c r="N30" i="2"/>
  <c r="O30" i="2" l="1"/>
  <c r="T30" i="2"/>
  <c r="E29" i="3"/>
  <c r="W29" i="2"/>
  <c r="AF5" i="3"/>
  <c r="AE4" i="3"/>
  <c r="AG5" i="3" l="1"/>
  <c r="AF4" i="3"/>
  <c r="D30" i="3"/>
  <c r="V30" i="2"/>
  <c r="U30" i="2"/>
  <c r="O33" i="2"/>
  <c r="Q30" i="2" s="1"/>
  <c r="P30" i="2" s="1"/>
  <c r="E30" i="3" l="1"/>
  <c r="W30" i="2"/>
  <c r="C36" i="2"/>
  <c r="R30" i="2"/>
  <c r="S30" i="2" s="1"/>
  <c r="Q29" i="2"/>
  <c r="P29" i="2" s="1"/>
  <c r="AH5" i="3"/>
  <c r="AG4" i="3"/>
  <c r="F30" i="3" l="1"/>
  <c r="AI5" i="3"/>
  <c r="AH4" i="3"/>
  <c r="R29" i="2"/>
  <c r="S29" i="2" s="1"/>
  <c r="Q28" i="2"/>
  <c r="P28" i="2" s="1"/>
  <c r="AJ5" i="3" l="1"/>
  <c r="AI4" i="3"/>
  <c r="R28" i="2"/>
  <c r="S28" i="2" s="1"/>
  <c r="Q27" i="2"/>
  <c r="P27" i="2" s="1"/>
  <c r="R27" i="2" s="1"/>
  <c r="S27" i="2" s="1"/>
  <c r="Q26" i="2"/>
  <c r="P26" i="2" s="1"/>
  <c r="F29" i="3"/>
  <c r="F27" i="3" l="1"/>
  <c r="F28" i="3"/>
  <c r="R26" i="2"/>
  <c r="S26" i="2" s="1"/>
  <c r="Q24" i="2"/>
  <c r="P24" i="2" s="1"/>
  <c r="Q22" i="2"/>
  <c r="P22" i="2" s="1"/>
  <c r="Q25" i="2"/>
  <c r="P25" i="2" s="1"/>
  <c r="AK5" i="3"/>
  <c r="AJ4" i="3"/>
  <c r="R22" i="2" l="1"/>
  <c r="S22" i="2" s="1"/>
  <c r="Q18" i="2"/>
  <c r="P18" i="2" s="1"/>
  <c r="Q19" i="2"/>
  <c r="P19" i="2" s="1"/>
  <c r="R19" i="2" s="1"/>
  <c r="S19" i="2" s="1"/>
  <c r="R24" i="2"/>
  <c r="S24" i="2" s="1"/>
  <c r="Q21" i="2"/>
  <c r="P21" i="2" s="1"/>
  <c r="Q23" i="2"/>
  <c r="P23" i="2" s="1"/>
  <c r="R23" i="2" s="1"/>
  <c r="S23" i="2" s="1"/>
  <c r="R25" i="2"/>
  <c r="S25" i="2" s="1"/>
  <c r="Q20" i="2"/>
  <c r="P20" i="2" s="1"/>
  <c r="AL5" i="3"/>
  <c r="AK4" i="3"/>
  <c r="F26" i="3"/>
  <c r="R20" i="2" l="1"/>
  <c r="S20" i="2" s="1"/>
  <c r="Q15" i="2"/>
  <c r="P15" i="2" s="1"/>
  <c r="F24" i="3"/>
  <c r="F25" i="3"/>
  <c r="F23" i="3"/>
  <c r="R18" i="2"/>
  <c r="S18" i="2" s="1"/>
  <c r="Q17" i="2"/>
  <c r="P17" i="2" s="1"/>
  <c r="F19" i="3"/>
  <c r="AM5" i="3"/>
  <c r="AL4" i="3"/>
  <c r="R21" i="2"/>
  <c r="S21" i="2" s="1"/>
  <c r="Q13" i="2"/>
  <c r="P13" i="2" s="1"/>
  <c r="F22" i="3"/>
  <c r="R13" i="2" l="1"/>
  <c r="S13" i="2" s="1"/>
  <c r="F21" i="3"/>
  <c r="R15" i="2"/>
  <c r="S15" i="2" s="1"/>
  <c r="Q14" i="2"/>
  <c r="P14" i="2" s="1"/>
  <c r="R14" i="2" s="1"/>
  <c r="S14" i="2" s="1"/>
  <c r="R17" i="2"/>
  <c r="S17" i="2" s="1"/>
  <c r="Q16" i="2"/>
  <c r="P16" i="2" s="1"/>
  <c r="R16" i="2" s="1"/>
  <c r="S16" i="2" s="1"/>
  <c r="AN5" i="3"/>
  <c r="AM4" i="3"/>
  <c r="F18" i="3"/>
  <c r="F20" i="3"/>
  <c r="F16" i="3" l="1"/>
  <c r="F17" i="3"/>
  <c r="Q12" i="2"/>
  <c r="P12" i="2" s="1"/>
  <c r="F14" i="3"/>
  <c r="AO5" i="3"/>
  <c r="AN4" i="3"/>
  <c r="F15" i="3"/>
  <c r="F13" i="3"/>
  <c r="AP5" i="3" l="1"/>
  <c r="AO4" i="3"/>
  <c r="R12" i="2"/>
  <c r="S12" i="2" s="1"/>
  <c r="Q8" i="2"/>
  <c r="P8" i="2" s="1"/>
  <c r="Q11" i="2"/>
  <c r="P11" i="2" s="1"/>
  <c r="R8" i="2" l="1"/>
  <c r="S8" i="2" s="1"/>
  <c r="Q7" i="2"/>
  <c r="P7" i="2" s="1"/>
  <c r="F12" i="3"/>
  <c r="R11" i="2"/>
  <c r="S11" i="2" s="1"/>
  <c r="Q10" i="2"/>
  <c r="P10" i="2" s="1"/>
  <c r="R10" i="2" s="1"/>
  <c r="S10" i="2" s="1"/>
  <c r="Q9" i="2"/>
  <c r="P9" i="2" s="1"/>
  <c r="R9" i="2" s="1"/>
  <c r="S9" i="2" s="1"/>
  <c r="AQ5" i="3"/>
  <c r="AP4" i="3"/>
  <c r="F9" i="3" l="1"/>
  <c r="R7" i="2"/>
  <c r="S7" i="2" s="1"/>
  <c r="Q6" i="2"/>
  <c r="P6" i="2" s="1"/>
  <c r="R6" i="2" s="1"/>
  <c r="S6" i="2" s="1"/>
  <c r="AR5" i="3"/>
  <c r="AQ4" i="3"/>
  <c r="F10" i="3"/>
  <c r="F11" i="3"/>
  <c r="F8" i="3"/>
  <c r="F7" i="3" l="1"/>
  <c r="F6" i="3"/>
  <c r="Y6" i="2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C34" i="2" s="1"/>
  <c r="L35" i="2"/>
  <c r="AS5" i="3"/>
  <c r="AR4" i="3"/>
  <c r="AT5" i="3" l="1"/>
  <c r="AS4" i="3"/>
  <c r="AU5" i="3" l="1"/>
  <c r="AT4" i="3"/>
  <c r="AV5" i="3" l="1"/>
  <c r="AU4" i="3"/>
  <c r="AW5" i="3" l="1"/>
  <c r="AV4" i="3"/>
  <c r="AX5" i="3" l="1"/>
  <c r="AW4" i="3"/>
  <c r="AY5" i="3" l="1"/>
  <c r="AX4" i="3"/>
  <c r="AZ5" i="3" l="1"/>
  <c r="AY4" i="3"/>
  <c r="BA5" i="3" l="1"/>
  <c r="AZ4" i="3"/>
  <c r="BB5" i="3" l="1"/>
  <c r="BA4" i="3"/>
  <c r="BC5" i="3" l="1"/>
  <c r="BB4" i="3"/>
  <c r="BD5" i="3" l="1"/>
  <c r="BC4" i="3"/>
  <c r="BE5" i="3" l="1"/>
  <c r="BD4" i="3"/>
  <c r="BF5" i="3" l="1"/>
  <c r="BE4" i="3"/>
  <c r="BG5" i="3" l="1"/>
  <c r="BF4" i="3"/>
  <c r="BH5" i="3" l="1"/>
  <c r="BG4" i="3"/>
  <c r="BI5" i="3" l="1"/>
  <c r="BH4" i="3"/>
  <c r="BJ5" i="3" l="1"/>
  <c r="BI4" i="3"/>
  <c r="BK5" i="3" l="1"/>
  <c r="BJ4" i="3"/>
  <c r="BL5" i="3" l="1"/>
  <c r="BK4" i="3"/>
  <c r="BM5" i="3" l="1"/>
  <c r="BL4" i="3"/>
  <c r="BN5" i="3" l="1"/>
  <c r="BM4" i="3"/>
  <c r="BO5" i="3" l="1"/>
  <c r="BN4" i="3"/>
  <c r="BP5" i="3" l="1"/>
  <c r="BO4" i="3"/>
  <c r="BQ5" i="3" l="1"/>
  <c r="BP4" i="3"/>
  <c r="BR5" i="3" l="1"/>
  <c r="BQ4" i="3"/>
  <c r="BS5" i="3" l="1"/>
  <c r="BR4" i="3"/>
  <c r="BT5" i="3" l="1"/>
  <c r="BS4" i="3"/>
  <c r="BU5" i="3" l="1"/>
  <c r="BT4" i="3"/>
  <c r="BV5" i="3" l="1"/>
  <c r="BU4" i="3"/>
  <c r="BW5" i="3" l="1"/>
  <c r="BV4" i="3"/>
  <c r="BX5" i="3" l="1"/>
  <c r="BW4" i="3"/>
  <c r="BY5" i="3" l="1"/>
  <c r="BX4" i="3"/>
  <c r="BZ5" i="3" l="1"/>
  <c r="BY4" i="3"/>
  <c r="CA5" i="3" l="1"/>
  <c r="BZ4" i="3"/>
  <c r="CB5" i="3" l="1"/>
  <c r="CA4" i="3"/>
  <c r="CC5" i="3" l="1"/>
  <c r="CC4" i="3" s="1"/>
  <c r="CB4" i="3"/>
</calcChain>
</file>

<file path=xl/sharedStrings.xml><?xml version="1.0" encoding="utf-8"?>
<sst xmlns="http://schemas.openxmlformats.org/spreadsheetml/2006/main" count="262" uniqueCount="146">
  <si>
    <t>Cómo usar este archivo (A07 · Equipo 5 Nexus Solutions)</t>
  </si>
  <si>
    <t>ALCANCE REDUCIDO: el programa solo registra órdenes de servicio y les da seguimiento (inicio de sesión con roles, clientes y órdenes). Se retiraron el catálogo de precios y las cotizaciones en PDF. El monto total y el anticipo de cada orden los captura Eclipse a mano. Por eso el plan pasó de 30 a 25 actividades.</t>
  </si>
  <si>
    <t>1. Hoja PERT: ACT-01 a ACT-10 traen los valores O, M y P que capturó el equipo (fondo amarillo). ACT-11 a ACT-25 traen valores PROPUESTOS por Claude (fondo naranja, columna H = 'Claude (por autorizar)').</t>
  </si>
  <si>
    <t>2. El equipo debe revisar los naranjas: si los acepta o los cambia, escribe en la columna G el nombre de quien los propuso o aprobó (la guía pide registrar quién propuso cada valor). Al cambiar la columna H el naranja desaparece. Si cambian cualquier O, M o P, todo lo demás se recalcula solo.</t>
  </si>
  <si>
    <t>3. Se calculan solos: te, σ, IT, FT, ITa, FTa, holgura, ruta crítica (filas rojas), fechas y semanas, y si el proyecto termina dentro de las 15 semanas.</t>
  </si>
  <si>
    <t>4. Hoja Gantt: se dibuja sola con el calendario real (semana 1 = lunes 7 de septiembre de 2026; inhábiles 16 de septiembre, 2 y 16 de noviembre) e incluye los hitos de cada sprint (fechas editables).</t>
  </si>
  <si>
    <t>5. Hoja Calendario: ahí se cambia la fecha de inicio del proyecto si el equipo arranca en otro día.</t>
  </si>
  <si>
    <t>6. Colores: texto azul = dato capturado; fondo amarillo = celdas del equipo; fondo naranja = propuesta por autorizar; texto negro = fórmula.</t>
  </si>
  <si>
    <t>7. La guía A07 (sección 11) pide que las duraciones salgan de la experiencia y la discusión del equipo y que se declare el uso de IA. Los valores naranjas son solo un punto de partida y deben declararse como tales en la sección 11 del documento.</t>
  </si>
  <si>
    <t>Ejemplo de formato (de la guía A07, no es de su proyecto): O = 2, M = 4, P = 9 días → te = (2 + 4×4 + 9)/6 = 4.5 días y σ = (9 − 2)/6 = 1.17.</t>
  </si>
  <si>
    <t>A07 · Tabla PERT, red y ruta crítica — Equipo 5 Nexus Solutions (Proyecto Eclipcom, alcance reducido a órdenes de servicio)</t>
  </si>
  <si>
    <t>Amarillo = valores del equipo. Naranja = valores PROPUESTOS por Claude, por autorizar: revísenlos, ajústenlos y escriban en la columna H quién los propuso/aprobó (el naranja desaparece solo). Todo lo demás se calcula.</t>
  </si>
  <si>
    <t>Actividades estimadas:</t>
  </si>
  <si>
    <t>de 25</t>
  </si>
  <si>
    <t>Por autorizar (naranja):</t>
  </si>
  <si>
    <t>ID</t>
  </si>
  <si>
    <t>Actividad</t>
  </si>
  <si>
    <t>Pred. 1</t>
  </si>
  <si>
    <t>Pred. 2</t>
  </si>
  <si>
    <t>Pred. 3</t>
  </si>
  <si>
    <t>Pred. 4</t>
  </si>
  <si>
    <t>Responsable (A06)</t>
  </si>
  <si>
    <t>Propuso la estimación</t>
  </si>
  <si>
    <t>O (días)</t>
  </si>
  <si>
    <t>M (días)</t>
  </si>
  <si>
    <t>P (días)</t>
  </si>
  <si>
    <t>te = (O+4M+P)/6</t>
  </si>
  <si>
    <t>σ = (P−O)/6</t>
  </si>
  <si>
    <t>IT</t>
  </si>
  <si>
    <t>FT</t>
  </si>
  <si>
    <t>ITa</t>
  </si>
  <si>
    <t>FTa</t>
  </si>
  <si>
    <t>Holgura (ITa−IT)</t>
  </si>
  <si>
    <t>¿Crítica?</t>
  </si>
  <si>
    <t>Inicio (fecha)</t>
  </si>
  <si>
    <t>Fin (fecha)</t>
  </si>
  <si>
    <t>Sem. inicio</t>
  </si>
  <si>
    <t>Sem. fin</t>
  </si>
  <si>
    <t>Revisión</t>
  </si>
  <si>
    <t>Aux. ruta</t>
  </si>
  <si>
    <t>Equivalente en A06</t>
  </si>
  <si>
    <t>ACT-01</t>
  </si>
  <si>
    <t>Configurar el tablero Trello y planear el Sprint 0</t>
  </si>
  <si>
    <t>Israel</t>
  </si>
  <si>
    <t>ACT-02</t>
  </si>
  <si>
    <t>Ordenar el repositorio GitHub, ramas y carpeta /portafolio</t>
  </si>
  <si>
    <t>Carlos</t>
  </si>
  <si>
    <t>Jesús</t>
  </si>
  <si>
    <t>ACT-03</t>
  </si>
  <si>
    <t>Instalar y verificar Python, Tkinter, MySQL y VS Code</t>
  </si>
  <si>
    <t>Antonio</t>
  </si>
  <si>
    <t>ACT-04</t>
  </si>
  <si>
    <t>Elaborar el modelo entidad-relación (Personal, Cliente y OrdenTrabajo)</t>
  </si>
  <si>
    <t>Omar</t>
  </si>
  <si>
    <t>ACT-05</t>
  </si>
  <si>
    <t>Diseñar el prototipo de pantallas Tkinter (inicio de sesión, clientes y órdenes)</t>
  </si>
  <si>
    <t>ACT-06</t>
  </si>
  <si>
    <t>Validar modelo y prototipo con el PO y el cliente (demo Sprint 0)</t>
  </si>
  <si>
    <t>ACT-07</t>
  </si>
  <si>
    <t>Crear scripts SQL de usuarios, roles y clientes</t>
  </si>
  <si>
    <t>ACT-08</t>
  </si>
  <si>
    <t>Programar el inicio de sesión con roles</t>
  </si>
  <si>
    <t>ACT-09</t>
  </si>
  <si>
    <t>Programar la interfaz y el CRUD de clientes</t>
  </si>
  <si>
    <t>ACT-10</t>
  </si>
  <si>
    <t>Programar la búsqueda y los filtros de clientes</t>
  </si>
  <si>
    <t>ACT-11</t>
  </si>
  <si>
    <t>Crear el script SQL de la tabla de órdenes de servicio (OrdenTrabajo)</t>
  </si>
  <si>
    <t>ACT-19</t>
  </si>
  <si>
    <t>ACT-12</t>
  </si>
  <si>
    <t>Programar el registro de órdenes (monto total y anticipo capturados a mano)</t>
  </si>
  <si>
    <t>ACT-20</t>
  </si>
  <si>
    <t>ACT-13</t>
  </si>
  <si>
    <t>Programar la asignación de técnicos y fechas a cada orden</t>
  </si>
  <si>
    <t>ACT-21</t>
  </si>
  <si>
    <t>ACT-14</t>
  </si>
  <si>
    <t>Programar el seguimiento de estatus: actualizar, registrar conclusión y cancelar</t>
  </si>
  <si>
    <t>ACT-15</t>
  </si>
  <si>
    <t>Programar el historial de órdenes por cliente y los filtros por estatus y técnico</t>
  </si>
  <si>
    <t>ACT-17</t>
  </si>
  <si>
    <t>ACT-16</t>
  </si>
  <si>
    <t>Restringir las acciones sobre las órdenes según el rol</t>
  </si>
  <si>
    <t>Demo del MVP y firma del acta con el dueño</t>
  </si>
  <si>
    <t>ACT-18</t>
  </si>
  <si>
    <t>Redactar el plan y los casos de prueba</t>
  </si>
  <si>
    <t>ACT-23</t>
  </si>
  <si>
    <t>Ejecutar las pruebas de acceso por rol</t>
  </si>
  <si>
    <t>ACT-24</t>
  </si>
  <si>
    <t>Cronometrar la búsqueda de clientes y el registro de órdenes</t>
  </si>
  <si>
    <t>ACT-25</t>
  </si>
  <si>
    <t>Corregir los defectos encontrados</t>
  </si>
  <si>
    <t>ACT-26</t>
  </si>
  <si>
    <t>ACT-22</t>
  </si>
  <si>
    <t>Redactar el manual de usuario</t>
  </si>
  <si>
    <t>ACT-27</t>
  </si>
  <si>
    <t>Capacitar al personal de Eclipse Comunicaciones</t>
  </si>
  <si>
    <t>ACT-28</t>
  </si>
  <si>
    <t>Entregar la versión final y recabar el acta</t>
  </si>
  <si>
    <t>ACT-29</t>
  </si>
  <si>
    <t>Retrospectiva final y presentación del proyecto</t>
  </si>
  <si>
    <t>ACT-30</t>
  </si>
  <si>
    <t>Total esperado (suma de te de todas las actividades)</t>
  </si>
  <si>
    <t>Duración del proyecto = FT máximo (días hábiles)</t>
  </si>
  <si>
    <t>Ruta crítica (actividades con holgura 0)</t>
  </si>
  <si>
    <t>σ de la ruta crítica = √(Σσ² de las críticas)</t>
  </si>
  <si>
    <t>¿Termina dentro de las 15 semanas?</t>
  </si>
  <si>
    <t>Notas</t>
  </si>
  <si>
    <t>1. Actividades y predecesoras: Tabla 3 de A06 reducida al alcance de órdenes de servicio (sin catálogo de precios ni cotizaciones en PDF). La columna Z indica a qué actividad de A06 corresponde cada una.</t>
  </si>
  <si>
    <t>2. Valores O, M y P de ACT-01 a ACT-10: los capturó el equipo. Valores de ACT-11 a ACT-25 (naranja): propuesta de Claude a partir de las horas de A06 y de los valores del equipo; no son definitivos hasta que el equipo los autorice.</t>
  </si>
  <si>
    <t>3. Los días son HÁBILES (lunes a viernes). Las fechas excluyen fines de semana y los 3 días inhábiles de la hoja Calendario.</t>
  </si>
  <si>
    <t>4. Fechas: Inicio = día hábil número ⌊IT⌋+1 y Fin = día hábil número ⌈FT⌉ desde la fecha de inicio del proyecto (hoja Calendario).</t>
  </si>
  <si>
    <t>5. Las filas en rojo son la ruta crítica (holgura = 0). Las fórmulas requieren que las predecesoras tengan un ID menor (así están ordenadas).</t>
  </si>
  <si>
    <t>Gantt (días hábiles) — se llena solo desde la hoja PERT</t>
  </si>
  <si>
    <t>Rojo = ruta crítica · Azul = actividad con holgura · Dorado = hito (fecha límite de sprint) · Gris = día inhábil. El calendario va de la semana 1 (7 de septiembre) a la semana 15 (18 de diciembre). Para el entregable, exporten esta hoja o rehagan el Gantt en GanttProject/ProjectLibre.</t>
  </si>
  <si>
    <t>Responsable</t>
  </si>
  <si>
    <t>Inicio</t>
  </si>
  <si>
    <t>Fin</t>
  </si>
  <si>
    <t>Hitos (fechas límite por sprint, editables)</t>
  </si>
  <si>
    <t>H1</t>
  </si>
  <si>
    <t>HITO · Demo del Sprint 0 (diseño y entorno)</t>
  </si>
  <si>
    <t>Equipo</t>
  </si>
  <si>
    <t>Hito</t>
  </si>
  <si>
    <t>H2</t>
  </si>
  <si>
    <t>HITO · Demo del Sprint 1 (inicio de sesión y clientes)</t>
  </si>
  <si>
    <t>H3</t>
  </si>
  <si>
    <t>HITO · Demo del Sprint 2 (control de órdenes de servicio)</t>
  </si>
  <si>
    <t>H4</t>
  </si>
  <si>
    <t>HITO · Demo del MVP y acta con el dueño (Sprint 3)</t>
  </si>
  <si>
    <t>H5</t>
  </si>
  <si>
    <t>HITO · Entrega final: último día hábil del cuatrimestre</t>
  </si>
  <si>
    <t>Calendario del cuatrimestre (parámetros)</t>
  </si>
  <si>
    <t>Parámetro</t>
  </si>
  <si>
    <t>Valor</t>
  </si>
  <si>
    <t>Nota</t>
  </si>
  <si>
    <t>Inicio del proyecto en el Gantt (lunes, editable)</t>
  </si>
  <si>
    <t>Semana 4 = inicio del Sprint 0 según la guía A07. Si el equipo arranca en otra fecha, cámbiala aquí y revisa que el fin siga antes del último día hábil.</t>
  </si>
  <si>
    <t>Lunes de la semana 1</t>
  </si>
  <si>
    <t>Dato de la guía A07.</t>
  </si>
  <si>
    <t>Semanas del cuatrimestre</t>
  </si>
  <si>
    <t>Último día hábil (viernes semana 15)</t>
  </si>
  <si>
    <t>Fórmula.</t>
  </si>
  <si>
    <t>Días inhábiles oficiales</t>
  </si>
  <si>
    <t>Independencia</t>
  </si>
  <si>
    <t>Día inhábil (guía A07)</t>
  </si>
  <si>
    <t>Revolución Mexicana (guía A07)</t>
  </si>
  <si>
    <t>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</si>
</sst>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"/>
  </numFmts>
  <fonts count="1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b/>
      <sz val="11"/>
      <color rgb="FFC55A11"/>
      <name val="Arial"/>
      <charset val="1"/>
    </font>
    <font>
      <b/>
      <sz val="11"/>
      <color rgb="FFFFFFFF"/>
      <name val="Arial"/>
      <charset val="1"/>
    </font>
    <font>
      <b/>
      <sz val="11"/>
      <color rgb="FFBFBFBF"/>
      <name val="Arial"/>
      <charset val="1"/>
    </font>
    <font>
      <sz val="11"/>
      <color rgb="FF0000FF"/>
      <name val="Arial"/>
      <charset val="1"/>
    </font>
    <font>
      <sz val="11"/>
      <color rgb="FFBFBFBF"/>
      <name val="Arial"/>
      <charset val="1"/>
    </font>
    <font>
      <b/>
      <sz val="8"/>
      <color rgb="FFFFFFFF"/>
      <name val="Arial"/>
      <charset val="1"/>
    </font>
    <font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2" borderId="0" xfId="0" applyFill="1"/>
    <xf numFmtId="0" fontId="10" fillId="2" borderId="0" xfId="0" applyFont="1" applyFill="1"/>
    <xf numFmtId="0" fontId="6" fillId="2" borderId="1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textRotation="90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0" fillId="0" borderId="1" xfId="0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6" fillId="2" borderId="0" xfId="0" applyFont="1" applyFill="1"/>
    <xf numFmtId="14" fontId="8" fillId="3" borderId="0" xfId="0" applyNumberFormat="1" applyFont="1" applyFill="1"/>
    <xf numFmtId="14" fontId="8" fillId="0" borderId="0" xfId="0" applyNumberFormat="1" applyFont="1"/>
    <xf numFmtId="0" fontId="8" fillId="0" borderId="0" xfId="0" applyFont="1"/>
    <xf numFmtId="14" fontId="2" fillId="0" borderId="0" xfId="0" applyNumberFormat="1" applyFont="1"/>
  </cellXfs>
  <cellStyles count="1">
    <cellStyle name="Normal" xfId="0" builtinId="0"/>
  </cellStyles>
  <dxfs count="7">
    <dxf>
      <fill>
        <patternFill>
          <bgColor rgb="FF2E75B6"/>
        </patternFill>
      </fill>
    </dxf>
    <dxf>
      <fill>
        <patternFill>
          <bgColor rgb="FFC00000"/>
        </patternFill>
      </fill>
    </dxf>
    <dxf>
      <fill>
        <patternFill>
          <bgColor rgb="FFC98A00"/>
        </patternFill>
      </fill>
    </dxf>
    <dxf>
      <fill>
        <patternFill>
          <bgColor rgb="FFA6A6A6"/>
        </patternFill>
      </fill>
    </dxf>
    <dxf>
      <font>
        <b/>
        <color rgb="FFC00000"/>
        <name val="Arial"/>
        <charset val="1"/>
      </font>
    </dxf>
    <dxf>
      <fill>
        <patternFill>
          <bgColor rgb="FFF4B183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2E75B6"/>
      <rgbColor rgb="FF33CCCC"/>
      <rgbColor rgb="FF99CC00"/>
      <rgbColor rgb="FFFFCC00"/>
      <rgbColor rgb="FFC98A00"/>
      <rgbColor rgb="FFC55A11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1"/>
  <sheetViews>
    <sheetView zoomScaleNormal="100" workbookViewId="0"/>
  </sheetViews>
  <sheetFormatPr baseColWidth="10" defaultColWidth="8.6328125" defaultRowHeight="14.5" x14ac:dyDescent="0.35"/>
  <cols>
    <col min="1" max="1" width="140" customWidth="1"/>
  </cols>
  <sheetData>
    <row r="1" spans="1:1" ht="16.5" x14ac:dyDescent="0.35">
      <c r="A1" s="1" t="s">
        <v>0</v>
      </c>
    </row>
    <row r="2" spans="1:1" ht="42" x14ac:dyDescent="0.35">
      <c r="A2" s="2" t="s">
        <v>1</v>
      </c>
    </row>
    <row r="3" spans="1:1" ht="28" x14ac:dyDescent="0.35">
      <c r="A3" s="2" t="s">
        <v>2</v>
      </c>
    </row>
    <row r="4" spans="1:1" ht="28" x14ac:dyDescent="0.35">
      <c r="A4" s="2" t="s">
        <v>3</v>
      </c>
    </row>
    <row r="5" spans="1:1" x14ac:dyDescent="0.35">
      <c r="A5" s="2" t="s">
        <v>4</v>
      </c>
    </row>
    <row r="6" spans="1:1" ht="28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ht="28" x14ac:dyDescent="0.35">
      <c r="A9" s="2" t="s">
        <v>8</v>
      </c>
    </row>
    <row r="10" spans="1:1" x14ac:dyDescent="0.35">
      <c r="A10" s="2"/>
    </row>
    <row r="11" spans="1:1" x14ac:dyDescent="0.35">
      <c r="A11" s="2" t="s">
        <v>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3"/>
  <sheetViews>
    <sheetView zoomScaleNormal="100" workbookViewId="0">
      <pane xSplit="2" ySplit="5" topLeftCell="G33" activePane="bottomRight" state="frozen"/>
      <selection pane="topRight" activeCell="C1" sqref="C1"/>
      <selection pane="bottomLeft" activeCell="A6" sqref="A6"/>
      <selection pane="bottomRight" activeCell="K45" sqref="K45"/>
    </sheetView>
  </sheetViews>
  <sheetFormatPr baseColWidth="10" defaultColWidth="8.6328125" defaultRowHeight="14.5" x14ac:dyDescent="0.35"/>
  <cols>
    <col min="1" max="1" width="9" customWidth="1"/>
    <col min="2" max="2" width="56" customWidth="1"/>
    <col min="3" max="6" width="9" customWidth="1"/>
    <col min="7" max="7" width="13" customWidth="1"/>
    <col min="8" max="8" width="22" customWidth="1"/>
    <col min="9" max="11" width="9" customWidth="1"/>
    <col min="12" max="12" width="13" customWidth="1"/>
    <col min="13" max="13" width="11" customWidth="1"/>
    <col min="14" max="17" width="8" customWidth="1"/>
    <col min="18" max="18" width="12" customWidth="1"/>
    <col min="19" max="19" width="10" customWidth="1"/>
    <col min="20" max="21" width="12" customWidth="1"/>
    <col min="22" max="23" width="9" customWidth="1"/>
    <col min="24" max="24" width="26" customWidth="1"/>
    <col min="25" max="25" width="6" customWidth="1"/>
    <col min="26" max="26" width="14" customWidth="1"/>
  </cols>
  <sheetData>
    <row r="1" spans="1:26" ht="16.5" x14ac:dyDescent="0.35">
      <c r="A1" s="3" t="s">
        <v>10</v>
      </c>
    </row>
    <row r="2" spans="1:26" x14ac:dyDescent="0.35">
      <c r="A2" s="4" t="s">
        <v>11</v>
      </c>
    </row>
    <row r="3" spans="1:26" x14ac:dyDescent="0.35">
      <c r="G3" s="5" t="s">
        <v>12</v>
      </c>
      <c r="H3" s="5">
        <f>COUNT(L6:L30)</f>
        <v>25</v>
      </c>
      <c r="I3" s="6" t="s">
        <v>13</v>
      </c>
      <c r="K3" s="5" t="s">
        <v>14</v>
      </c>
      <c r="N3" s="7">
        <f>COUNTIF(H6:H30,"Claude*")</f>
        <v>0</v>
      </c>
    </row>
    <row r="5" spans="1:26" ht="42" customHeight="1" x14ac:dyDescent="0.35">
      <c r="A5" s="8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 t="s">
        <v>29</v>
      </c>
      <c r="P5" s="8" t="s">
        <v>30</v>
      </c>
      <c r="Q5" s="8" t="s">
        <v>31</v>
      </c>
      <c r="R5" s="8" t="s">
        <v>32</v>
      </c>
      <c r="S5" s="8" t="s">
        <v>33</v>
      </c>
      <c r="T5" s="8" t="s">
        <v>34</v>
      </c>
      <c r="U5" s="8" t="s">
        <v>35</v>
      </c>
      <c r="V5" s="8" t="s">
        <v>36</v>
      </c>
      <c r="W5" s="8" t="s">
        <v>37</v>
      </c>
      <c r="X5" s="8" t="s">
        <v>38</v>
      </c>
      <c r="Y5" s="9" t="s">
        <v>39</v>
      </c>
      <c r="Z5" s="8" t="s">
        <v>40</v>
      </c>
    </row>
    <row r="6" spans="1:26" x14ac:dyDescent="0.35">
      <c r="A6" s="10" t="s">
        <v>41</v>
      </c>
      <c r="B6" s="11" t="s">
        <v>42</v>
      </c>
      <c r="C6" s="12"/>
      <c r="D6" s="12"/>
      <c r="E6" s="12"/>
      <c r="F6" s="12"/>
      <c r="G6" s="12" t="s">
        <v>43</v>
      </c>
      <c r="H6" s="13" t="s">
        <v>43</v>
      </c>
      <c r="I6" s="14">
        <v>1</v>
      </c>
      <c r="J6" s="14">
        <v>2</v>
      </c>
      <c r="K6" s="14">
        <v>5</v>
      </c>
      <c r="L6" s="15">
        <f t="shared" ref="L6:L30" si="0">IF(COUNT(I6:K6)=3,(I6+4*J6+K6)/6,"")</f>
        <v>2.3333333333333335</v>
      </c>
      <c r="M6" s="15">
        <f t="shared" ref="M6:M30" si="1">IF(COUNT(I6:K6)=3,(K6-I6)/6,"")</f>
        <v>0.66666666666666663</v>
      </c>
      <c r="N6" s="15">
        <f>IF($H$3&lt;25,"",0)</f>
        <v>0</v>
      </c>
      <c r="O6" s="15">
        <f t="shared" ref="O6:O30" si="2">IF(N6="","",N6+L6)</f>
        <v>2.3333333333333335</v>
      </c>
      <c r="P6" s="15">
        <f t="shared" ref="P6:P30" si="3">IF(Q6="","",Q6-L6)</f>
        <v>-3.9968028886505635E-15</v>
      </c>
      <c r="Q6" s="15">
        <f>IF($H$3&lt;25,"",MIN($O$33,IF(COUNTIF(C7:C$30,A6)=0,1000000000,_xlfn.MINIFS($P7:$P$30,C7:C$30,A6)),IF(COUNTIF(D7:D$30,A6)=0,1000000000,_xlfn.MINIFS($P7:$P$30,D7:D$30,A6)),IF(COUNTIF(E7:E$30,A6)=0,1000000000,_xlfn.MINIFS($P7:$P$30,E7:E$30,A6)),IF(COUNTIF(F7:F$30,A6)=0,1000000000,_xlfn.MINIFS($P7:$P$30,F7:F$30,A6))))</f>
        <v>2.3333333333333295</v>
      </c>
      <c r="R6" s="15">
        <f t="shared" ref="R6:R30" si="4">IF(P6="","",ROUND(P6-N6,4))</f>
        <v>0</v>
      </c>
      <c r="S6" s="16" t="str">
        <f t="shared" ref="S6:S30" si="5">IF(R6="","",IF(R6=0,"Sí","No"))</f>
        <v>Sí</v>
      </c>
      <c r="T6" s="17">
        <f>IF(N6="","",WORKDAY(Calendario!$B$3-1,ROUNDDOWN(N6,0)+1,Calendario!$B$8:$B$10))</f>
        <v>46293</v>
      </c>
      <c r="U6" s="17">
        <f>IF(O6="","",WORKDAY(Calendario!$B$3-1,MAX(1,ROUNDUP(O6,0)),Calendario!$B$8:$B$10))</f>
        <v>46295</v>
      </c>
      <c r="V6" s="16">
        <f>IF(T6="","",INT((T6-Calendario!$B$4)/7)+1)</f>
        <v>4</v>
      </c>
      <c r="W6" s="16">
        <f>IF(U6="","",INT((U6-Calendario!$B$4)/7)+1)</f>
        <v>4</v>
      </c>
      <c r="X6" s="10" t="str">
        <f t="shared" ref="X6:X30" si="6">IF(COUNT(I6:K6)=3,IF(AND(I6&lt;=J6,J6&lt;=K6),"OK","Revisar: debe ser O ≤ M ≤ P"),"")</f>
        <v>OK</v>
      </c>
      <c r="Y6" s="18" t="str">
        <f>IF(S6="Sí",""&amp;IF(""="","", " → ")&amp;A6,"")</f>
        <v>ACT-01</v>
      </c>
      <c r="Z6" s="19" t="s">
        <v>41</v>
      </c>
    </row>
    <row r="7" spans="1:26" x14ac:dyDescent="0.35">
      <c r="A7" s="10" t="s">
        <v>44</v>
      </c>
      <c r="B7" s="11" t="s">
        <v>45</v>
      </c>
      <c r="C7" s="12" t="s">
        <v>41</v>
      </c>
      <c r="D7" s="12"/>
      <c r="E7" s="12"/>
      <c r="F7" s="12"/>
      <c r="G7" s="12" t="s">
        <v>46</v>
      </c>
      <c r="H7" s="13" t="s">
        <v>47</v>
      </c>
      <c r="I7" s="14">
        <v>1</v>
      </c>
      <c r="J7" s="14">
        <v>2</v>
      </c>
      <c r="K7" s="14">
        <v>5</v>
      </c>
      <c r="L7" s="15">
        <f t="shared" si="0"/>
        <v>2.3333333333333335</v>
      </c>
      <c r="M7" s="15">
        <f t="shared" si="1"/>
        <v>0.66666666666666663</v>
      </c>
      <c r="N7" s="15">
        <f>IF($H$3&lt;25,"",MAX(0,IF(C7="",0,INDEX($O$6:$O6,MATCH(C7,$A$6:$A6,0))),IF(D7="",0,INDEX($O$6:$O6,MATCH(D7,$A$6:$A6,0))),IF(E7="",0,INDEX($O$6:$O6,MATCH(E7,$A$6:$A6,0))),IF(F7="",0,INDEX($O$6:$O6,MATCH(F7,$A$6:$A6,0)))))</f>
        <v>2.3333333333333335</v>
      </c>
      <c r="O7" s="15">
        <f t="shared" si="2"/>
        <v>4.666666666666667</v>
      </c>
      <c r="P7" s="15">
        <f t="shared" si="3"/>
        <v>8.4999999999999947</v>
      </c>
      <c r="Q7" s="15">
        <f>IF($H$3&lt;25,"",MIN($O$33,IF(COUNTIF(C8:C$30,A7)=0,1000000000,_xlfn.MINIFS($P8:$P$30,C8:C$30,A7)),IF(COUNTIF(D8:D$30,A7)=0,1000000000,_xlfn.MINIFS($P8:$P$30,D8:D$30,A7)),IF(COUNTIF(E8:E$30,A7)=0,1000000000,_xlfn.MINIFS($P8:$P$30,E8:E$30,A7)),IF(COUNTIF(F8:F$30,A7)=0,1000000000,_xlfn.MINIFS($P8:$P$30,F8:F$30,A7))))</f>
        <v>10.833333333333329</v>
      </c>
      <c r="R7" s="15">
        <f t="shared" si="4"/>
        <v>6.1666999999999996</v>
      </c>
      <c r="S7" s="16" t="str">
        <f t="shared" si="5"/>
        <v>No</v>
      </c>
      <c r="T7" s="17">
        <f>IF(N7="","",WORKDAY(Calendario!$B$3-1,ROUNDDOWN(N7,0)+1,Calendario!$B$8:$B$10))</f>
        <v>46295</v>
      </c>
      <c r="U7" s="17">
        <f>IF(O7="","",WORKDAY(Calendario!$B$3-1,MAX(1,ROUNDUP(O7,0)),Calendario!$B$8:$B$10))</f>
        <v>46297</v>
      </c>
      <c r="V7" s="16">
        <f>IF(T7="","",INT((T7-Calendario!$B$4)/7)+1)</f>
        <v>4</v>
      </c>
      <c r="W7" s="16">
        <f>IF(U7="","",INT((U7-Calendario!$B$4)/7)+1)</f>
        <v>4</v>
      </c>
      <c r="X7" s="10" t="str">
        <f t="shared" si="6"/>
        <v>OK</v>
      </c>
      <c r="Y7" s="18" t="str">
        <f t="shared" ref="Y7:Y30" si="7">IF(S7="Sí",Y6&amp;IF(Y6="","", " → ")&amp;A7,Y6)</f>
        <v>ACT-01</v>
      </c>
      <c r="Z7" s="19" t="s">
        <v>44</v>
      </c>
    </row>
    <row r="8" spans="1:26" x14ac:dyDescent="0.35">
      <c r="A8" s="10" t="s">
        <v>48</v>
      </c>
      <c r="B8" s="11" t="s">
        <v>49</v>
      </c>
      <c r="C8" s="12" t="s">
        <v>44</v>
      </c>
      <c r="D8" s="12"/>
      <c r="E8" s="12"/>
      <c r="F8" s="12"/>
      <c r="G8" s="12" t="s">
        <v>47</v>
      </c>
      <c r="H8" s="13" t="s">
        <v>50</v>
      </c>
      <c r="I8" s="14">
        <v>1</v>
      </c>
      <c r="J8" s="14">
        <v>3</v>
      </c>
      <c r="K8" s="14">
        <v>4</v>
      </c>
      <c r="L8" s="15">
        <f t="shared" si="0"/>
        <v>2.8333333333333335</v>
      </c>
      <c r="M8" s="15">
        <f t="shared" si="1"/>
        <v>0.5</v>
      </c>
      <c r="N8" s="15">
        <f>IF($H$3&lt;25,"",MAX(0,IF(C8="",0,INDEX($O$6:$O7,MATCH(C8,$A$6:$A7,0))),IF(D8="",0,INDEX($O$6:$O7,MATCH(D8,$A$6:$A7,0))),IF(E8="",0,INDEX($O$6:$O7,MATCH(E8,$A$6:$A7,0))),IF(F8="",0,INDEX($O$6:$O7,MATCH(F8,$A$6:$A7,0)))))</f>
        <v>4.666666666666667</v>
      </c>
      <c r="O8" s="15">
        <f t="shared" si="2"/>
        <v>7.5</v>
      </c>
      <c r="P8" s="15">
        <f t="shared" si="3"/>
        <v>10.833333333333329</v>
      </c>
      <c r="Q8" s="15">
        <f>IF($H$3&lt;25,"",MIN($O$33,IF(COUNTIF(C9:C$30,A8)=0,1000000000,_xlfn.MINIFS($P9:$P$30,C9:C$30,A8)),IF(COUNTIF(D9:D$30,A8)=0,1000000000,_xlfn.MINIFS($P9:$P$30,D9:D$30,A8)),IF(COUNTIF(E9:E$30,A8)=0,1000000000,_xlfn.MINIFS($P9:$P$30,E9:E$30,A8)),IF(COUNTIF(F9:F$30,A8)=0,1000000000,_xlfn.MINIFS($P9:$P$30,F9:F$30,A8))))</f>
        <v>13.666666666666663</v>
      </c>
      <c r="R8" s="15">
        <f t="shared" si="4"/>
        <v>6.1666999999999996</v>
      </c>
      <c r="S8" s="16" t="str">
        <f t="shared" si="5"/>
        <v>No</v>
      </c>
      <c r="T8" s="17">
        <f>IF(N8="","",WORKDAY(Calendario!$B$3-1,ROUNDDOWN(N8,0)+1,Calendario!$B$8:$B$10))</f>
        <v>46297</v>
      </c>
      <c r="U8" s="17">
        <f>IF(O8="","",WORKDAY(Calendario!$B$3-1,MAX(1,ROUNDUP(O8,0)),Calendario!$B$8:$B$10))</f>
        <v>46302</v>
      </c>
      <c r="V8" s="16">
        <f>IF(T8="","",INT((T8-Calendario!$B$4)/7)+1)</f>
        <v>4</v>
      </c>
      <c r="W8" s="16">
        <f>IF(U8="","",INT((U8-Calendario!$B$4)/7)+1)</f>
        <v>5</v>
      </c>
      <c r="X8" s="10" t="str">
        <f t="shared" si="6"/>
        <v>OK</v>
      </c>
      <c r="Y8" s="18" t="str">
        <f t="shared" si="7"/>
        <v>ACT-01</v>
      </c>
      <c r="Z8" s="19" t="s">
        <v>48</v>
      </c>
    </row>
    <row r="9" spans="1:26" ht="28" x14ac:dyDescent="0.35">
      <c r="A9" s="10" t="s">
        <v>51</v>
      </c>
      <c r="B9" s="11" t="s">
        <v>52</v>
      </c>
      <c r="C9" s="12" t="s">
        <v>41</v>
      </c>
      <c r="D9" s="12"/>
      <c r="E9" s="12"/>
      <c r="F9" s="12"/>
      <c r="G9" s="12" t="s">
        <v>50</v>
      </c>
      <c r="H9" s="13" t="s">
        <v>53</v>
      </c>
      <c r="I9" s="14">
        <v>1</v>
      </c>
      <c r="J9" s="14">
        <v>2</v>
      </c>
      <c r="K9" s="14">
        <v>5</v>
      </c>
      <c r="L9" s="15">
        <f t="shared" si="0"/>
        <v>2.3333333333333335</v>
      </c>
      <c r="M9" s="15">
        <f t="shared" si="1"/>
        <v>0.66666666666666663</v>
      </c>
      <c r="N9" s="15">
        <f>IF($H$3&lt;25,"",MAX(0,IF(C9="",0,INDEX($O$6:$O8,MATCH(C9,$A$6:$A8,0))),IF(D9="",0,INDEX($O$6:$O8,MATCH(D9,$A$6:$A8,0))),IF(E9="",0,INDEX($O$6:$O8,MATCH(E9,$A$6:$A8,0))),IF(F9="",0,INDEX($O$6:$O8,MATCH(F9,$A$6:$A8,0)))))</f>
        <v>2.3333333333333335</v>
      </c>
      <c r="O9" s="15">
        <f t="shared" si="2"/>
        <v>4.666666666666667</v>
      </c>
      <c r="P9" s="15">
        <f t="shared" si="3"/>
        <v>6.3333333333333286</v>
      </c>
      <c r="Q9" s="15">
        <f>IF($H$3&lt;25,"",MIN($O$33,IF(COUNTIF(C10:C$30,A9)=0,1000000000,_xlfn.MINIFS($P10:$P$30,C10:C$30,A9)),IF(COUNTIF(D10:D$30,A9)=0,1000000000,_xlfn.MINIFS($P10:$P$30,D10:D$30,A9)),IF(COUNTIF(E10:E$30,A9)=0,1000000000,_xlfn.MINIFS($P10:$P$30,E10:E$30,A9)),IF(COUNTIF(F10:F$30,A9)=0,1000000000,_xlfn.MINIFS($P10:$P$30,F10:F$30,A9))))</f>
        <v>8.6666666666666625</v>
      </c>
      <c r="R9" s="15">
        <f t="shared" si="4"/>
        <v>4</v>
      </c>
      <c r="S9" s="16" t="str">
        <f t="shared" si="5"/>
        <v>No</v>
      </c>
      <c r="T9" s="17">
        <f>IF(N9="","",WORKDAY(Calendario!$B$3-1,ROUNDDOWN(N9,0)+1,Calendario!$B$8:$B$10))</f>
        <v>46295</v>
      </c>
      <c r="U9" s="17">
        <f>IF(O9="","",WORKDAY(Calendario!$B$3-1,MAX(1,ROUNDUP(O9,0)),Calendario!$B$8:$B$10))</f>
        <v>46297</v>
      </c>
      <c r="V9" s="16">
        <f>IF(T9="","",INT((T9-Calendario!$B$4)/7)+1)</f>
        <v>4</v>
      </c>
      <c r="W9" s="16">
        <f>IF(U9="","",INT((U9-Calendario!$B$4)/7)+1)</f>
        <v>4</v>
      </c>
      <c r="X9" s="10" t="str">
        <f t="shared" si="6"/>
        <v>OK</v>
      </c>
      <c r="Y9" s="18" t="str">
        <f t="shared" si="7"/>
        <v>ACT-01</v>
      </c>
      <c r="Z9" s="19" t="s">
        <v>51</v>
      </c>
    </row>
    <row r="10" spans="1:26" ht="28" x14ac:dyDescent="0.35">
      <c r="A10" s="10" t="s">
        <v>54</v>
      </c>
      <c r="B10" s="11" t="s">
        <v>55</v>
      </c>
      <c r="C10" s="12" t="s">
        <v>41</v>
      </c>
      <c r="D10" s="12"/>
      <c r="E10" s="12"/>
      <c r="F10" s="12"/>
      <c r="G10" s="12" t="s">
        <v>46</v>
      </c>
      <c r="H10" s="13" t="s">
        <v>46</v>
      </c>
      <c r="I10" s="14">
        <v>4</v>
      </c>
      <c r="J10" s="14">
        <v>6</v>
      </c>
      <c r="K10" s="14">
        <v>10</v>
      </c>
      <c r="L10" s="15">
        <f t="shared" si="0"/>
        <v>6.333333333333333</v>
      </c>
      <c r="M10" s="15">
        <f t="shared" si="1"/>
        <v>1</v>
      </c>
      <c r="N10" s="15">
        <f>IF($H$3&lt;25,"",MAX(0,IF(C10="",0,INDEX($O$6:$O9,MATCH(C10,$A$6:$A9,0))),IF(D10="",0,INDEX($O$6:$O9,MATCH(D10,$A$6:$A9,0))),IF(E10="",0,INDEX($O$6:$O9,MATCH(E10,$A$6:$A9,0))),IF(F10="",0,INDEX($O$6:$O9,MATCH(F10,$A$6:$A9,0)))))</f>
        <v>2.3333333333333335</v>
      </c>
      <c r="O10" s="15">
        <f t="shared" si="2"/>
        <v>8.6666666666666661</v>
      </c>
      <c r="P10" s="15">
        <f t="shared" si="3"/>
        <v>2.3333333333333295</v>
      </c>
      <c r="Q10" s="15">
        <f>IF($H$3&lt;25,"",MIN($O$33,IF(COUNTIF(C11:C$30,A10)=0,1000000000,_xlfn.MINIFS($P11:$P$30,C11:C$30,A10)),IF(COUNTIF(D11:D$30,A10)=0,1000000000,_xlfn.MINIFS($P11:$P$30,D11:D$30,A10)),IF(COUNTIF(E11:E$30,A10)=0,1000000000,_xlfn.MINIFS($P11:$P$30,E11:E$30,A10)),IF(COUNTIF(F11:F$30,A10)=0,1000000000,_xlfn.MINIFS($P11:$P$30,F11:F$30,A10))))</f>
        <v>8.6666666666666625</v>
      </c>
      <c r="R10" s="15">
        <f t="shared" si="4"/>
        <v>0</v>
      </c>
      <c r="S10" s="16" t="str">
        <f t="shared" si="5"/>
        <v>Sí</v>
      </c>
      <c r="T10" s="17">
        <f>IF(N10="","",WORKDAY(Calendario!$B$3-1,ROUNDDOWN(N10,0)+1,Calendario!$B$8:$B$10))</f>
        <v>46295</v>
      </c>
      <c r="U10" s="17">
        <f>IF(O10="","",WORKDAY(Calendario!$B$3-1,MAX(1,ROUNDUP(O10,0)),Calendario!$B$8:$B$10))</f>
        <v>46303</v>
      </c>
      <c r="V10" s="16">
        <f>IF(T10="","",INT((T10-Calendario!$B$4)/7)+1)</f>
        <v>4</v>
      </c>
      <c r="W10" s="16">
        <f>IF(U10="","",INT((U10-Calendario!$B$4)/7)+1)</f>
        <v>5</v>
      </c>
      <c r="X10" s="10" t="str">
        <f t="shared" si="6"/>
        <v>OK</v>
      </c>
      <c r="Y10" s="18" t="str">
        <f t="shared" si="7"/>
        <v>ACT-01 → ACT-05</v>
      </c>
      <c r="Z10" s="19" t="s">
        <v>54</v>
      </c>
    </row>
    <row r="11" spans="1:26" ht="28" x14ac:dyDescent="0.35">
      <c r="A11" s="10" t="s">
        <v>56</v>
      </c>
      <c r="B11" s="11" t="s">
        <v>57</v>
      </c>
      <c r="C11" s="12" t="s">
        <v>51</v>
      </c>
      <c r="D11" s="12" t="s">
        <v>54</v>
      </c>
      <c r="E11" s="12"/>
      <c r="F11" s="12"/>
      <c r="G11" s="12" t="s">
        <v>47</v>
      </c>
      <c r="H11" s="13" t="s">
        <v>43</v>
      </c>
      <c r="I11" s="14">
        <v>3</v>
      </c>
      <c r="J11" s="14">
        <v>5</v>
      </c>
      <c r="K11" s="14">
        <v>7</v>
      </c>
      <c r="L11" s="15">
        <f t="shared" si="0"/>
        <v>5</v>
      </c>
      <c r="M11" s="15">
        <f t="shared" si="1"/>
        <v>0.66666666666666663</v>
      </c>
      <c r="N11" s="15">
        <f>IF($H$3&lt;25,"",MAX(0,IF(C11="",0,INDEX($O$6:$O10,MATCH(C11,$A$6:$A10,0))),IF(D11="",0,INDEX($O$6:$O10,MATCH(D11,$A$6:$A10,0))),IF(E11="",0,INDEX($O$6:$O10,MATCH(E11,$A$6:$A10,0))),IF(F11="",0,INDEX($O$6:$O10,MATCH(F11,$A$6:$A10,0)))))</f>
        <v>8.6666666666666661</v>
      </c>
      <c r="O11" s="15">
        <f t="shared" si="2"/>
        <v>13.666666666666666</v>
      </c>
      <c r="P11" s="15">
        <f t="shared" si="3"/>
        <v>8.6666666666666625</v>
      </c>
      <c r="Q11" s="15">
        <f>IF($H$3&lt;25,"",MIN($O$33,IF(COUNTIF(C12:C$30,A11)=0,1000000000,_xlfn.MINIFS($P12:$P$30,C12:C$30,A11)),IF(COUNTIF(D12:D$30,A11)=0,1000000000,_xlfn.MINIFS($P12:$P$30,D12:D$30,A11)),IF(COUNTIF(E12:E$30,A11)=0,1000000000,_xlfn.MINIFS($P12:$P$30,E12:E$30,A11)),IF(COUNTIF(F12:F$30,A11)=0,1000000000,_xlfn.MINIFS($P12:$P$30,F12:F$30,A11))))</f>
        <v>13.666666666666663</v>
      </c>
      <c r="R11" s="15">
        <f t="shared" si="4"/>
        <v>0</v>
      </c>
      <c r="S11" s="16" t="str">
        <f t="shared" si="5"/>
        <v>Sí</v>
      </c>
      <c r="T11" s="17">
        <f>IF(N11="","",WORKDAY(Calendario!$B$3-1,ROUNDDOWN(N11,0)+1,Calendario!$B$8:$B$10))</f>
        <v>46303</v>
      </c>
      <c r="U11" s="17">
        <f>IF(O11="","",WORKDAY(Calendario!$B$3-1,MAX(1,ROUNDUP(O11,0)),Calendario!$B$8:$B$10))</f>
        <v>46310</v>
      </c>
      <c r="V11" s="16">
        <f>IF(T11="","",INT((T11-Calendario!$B$4)/7)+1)</f>
        <v>5</v>
      </c>
      <c r="W11" s="16">
        <f>IF(U11="","",INT((U11-Calendario!$B$4)/7)+1)</f>
        <v>6</v>
      </c>
      <c r="X11" s="10" t="str">
        <f t="shared" si="6"/>
        <v>OK</v>
      </c>
      <c r="Y11" s="18" t="str">
        <f t="shared" si="7"/>
        <v>ACT-01 → ACT-05 → ACT-06</v>
      </c>
      <c r="Z11" s="19" t="s">
        <v>56</v>
      </c>
    </row>
    <row r="12" spans="1:26" x14ac:dyDescent="0.35">
      <c r="A12" s="10" t="s">
        <v>58</v>
      </c>
      <c r="B12" s="11" t="s">
        <v>59</v>
      </c>
      <c r="C12" s="12" t="s">
        <v>48</v>
      </c>
      <c r="D12" s="12" t="s">
        <v>56</v>
      </c>
      <c r="E12" s="12"/>
      <c r="F12" s="12"/>
      <c r="G12" s="12" t="s">
        <v>53</v>
      </c>
      <c r="H12" s="13" t="s">
        <v>43</v>
      </c>
      <c r="I12" s="14">
        <v>2</v>
      </c>
      <c r="J12" s="14">
        <v>3</v>
      </c>
      <c r="K12" s="14">
        <v>5</v>
      </c>
      <c r="L12" s="15">
        <f t="shared" si="0"/>
        <v>3.1666666666666665</v>
      </c>
      <c r="M12" s="15">
        <f t="shared" si="1"/>
        <v>0.5</v>
      </c>
      <c r="N12" s="15">
        <f>IF($H$3&lt;25,"",MAX(0,IF(C12="",0,INDEX($O$6:$O11,MATCH(C12,$A$6:$A11,0))),IF(D12="",0,INDEX($O$6:$O11,MATCH(D12,$A$6:$A11,0))),IF(E12="",0,INDEX($O$6:$O11,MATCH(E12,$A$6:$A11,0))),IF(F12="",0,INDEX($O$6:$O11,MATCH(F12,$A$6:$A11,0)))))</f>
        <v>13.666666666666666</v>
      </c>
      <c r="O12" s="15">
        <f t="shared" si="2"/>
        <v>16.833333333333332</v>
      </c>
      <c r="P12" s="15">
        <f t="shared" si="3"/>
        <v>13.666666666666663</v>
      </c>
      <c r="Q12" s="15">
        <f>IF($H$3&lt;25,"",MIN($O$33,IF(COUNTIF(C13:C$30,A12)=0,1000000000,_xlfn.MINIFS($P13:$P$30,C13:C$30,A12)),IF(COUNTIF(D13:D$30,A12)=0,1000000000,_xlfn.MINIFS($P13:$P$30,D13:D$30,A12)),IF(COUNTIF(E13:E$30,A12)=0,1000000000,_xlfn.MINIFS($P13:$P$30,E13:E$30,A12)),IF(COUNTIF(F13:F$30,A12)=0,1000000000,_xlfn.MINIFS($P13:$P$30,F13:F$30,A12))))</f>
        <v>16.833333333333329</v>
      </c>
      <c r="R12" s="15">
        <f t="shared" si="4"/>
        <v>0</v>
      </c>
      <c r="S12" s="16" t="str">
        <f t="shared" si="5"/>
        <v>Sí</v>
      </c>
      <c r="T12" s="17">
        <f>IF(N12="","",WORKDAY(Calendario!$B$3-1,ROUNDDOWN(N12,0)+1,Calendario!$B$8:$B$10))</f>
        <v>46310</v>
      </c>
      <c r="U12" s="17">
        <f>IF(O12="","",WORKDAY(Calendario!$B$3-1,MAX(1,ROUNDUP(O12,0)),Calendario!$B$8:$B$10))</f>
        <v>46315</v>
      </c>
      <c r="V12" s="16">
        <f>IF(T12="","",INT((T12-Calendario!$B$4)/7)+1)</f>
        <v>6</v>
      </c>
      <c r="W12" s="16">
        <f>IF(U12="","",INT((U12-Calendario!$B$4)/7)+1)</f>
        <v>7</v>
      </c>
      <c r="X12" s="10" t="str">
        <f t="shared" si="6"/>
        <v>OK</v>
      </c>
      <c r="Y12" s="18" t="str">
        <f t="shared" si="7"/>
        <v>ACT-01 → ACT-05 → ACT-06 → ACT-07</v>
      </c>
      <c r="Z12" s="19" t="s">
        <v>58</v>
      </c>
    </row>
    <row r="13" spans="1:26" x14ac:dyDescent="0.35">
      <c r="A13" s="10" t="s">
        <v>60</v>
      </c>
      <c r="B13" s="11" t="s">
        <v>61</v>
      </c>
      <c r="C13" s="12" t="s">
        <v>58</v>
      </c>
      <c r="D13" s="12"/>
      <c r="E13" s="12"/>
      <c r="F13" s="12"/>
      <c r="G13" s="12" t="s">
        <v>50</v>
      </c>
      <c r="H13" s="13" t="s">
        <v>47</v>
      </c>
      <c r="I13" s="14">
        <v>4</v>
      </c>
      <c r="J13" s="14">
        <v>6</v>
      </c>
      <c r="K13" s="14">
        <v>9</v>
      </c>
      <c r="L13" s="15">
        <f t="shared" si="0"/>
        <v>6.166666666666667</v>
      </c>
      <c r="M13" s="15">
        <f t="shared" si="1"/>
        <v>0.83333333333333337</v>
      </c>
      <c r="N13" s="15">
        <f>IF($H$3&lt;25,"",MAX(0,IF(C13="",0,INDEX($O$6:$O12,MATCH(C13,$A$6:$A12,0))),IF(D13="",0,INDEX($O$6:$O12,MATCH(D13,$A$6:$A12,0))),IF(E13="",0,INDEX($O$6:$O12,MATCH(E13,$A$6:$A12,0))),IF(F13="",0,INDEX($O$6:$O12,MATCH(F13,$A$6:$A12,0)))))</f>
        <v>16.833333333333332</v>
      </c>
      <c r="O13" s="15">
        <f t="shared" si="2"/>
        <v>23</v>
      </c>
      <c r="P13" s="15">
        <f t="shared" si="3"/>
        <v>19.666666666666661</v>
      </c>
      <c r="Q13" s="15">
        <f>IF($H$3&lt;25,"",MIN($O$33,IF(COUNTIF(C14:C$30,A13)=0,1000000000,_xlfn.MINIFS($P14:$P$30,C14:C$30,A13)),IF(COUNTIF(D14:D$30,A13)=0,1000000000,_xlfn.MINIFS($P14:$P$30,D14:D$30,A13)),IF(COUNTIF(E14:E$30,A13)=0,1000000000,_xlfn.MINIFS($P14:$P$30,E14:E$30,A13)),IF(COUNTIF(F14:F$30,A13)=0,1000000000,_xlfn.MINIFS($P14:$P$30,F14:F$30,A13))))</f>
        <v>25.833333333333329</v>
      </c>
      <c r="R13" s="15">
        <f t="shared" si="4"/>
        <v>2.8332999999999999</v>
      </c>
      <c r="S13" s="16" t="str">
        <f t="shared" si="5"/>
        <v>No</v>
      </c>
      <c r="T13" s="17">
        <f>IF(N13="","",WORKDAY(Calendario!$B$3-1,ROUNDDOWN(N13,0)+1,Calendario!$B$8:$B$10))</f>
        <v>46315</v>
      </c>
      <c r="U13" s="17">
        <f>IF(O13="","",WORKDAY(Calendario!$B$3-1,MAX(1,ROUNDUP(O13,0)),Calendario!$B$8:$B$10))</f>
        <v>46323</v>
      </c>
      <c r="V13" s="16">
        <f>IF(T13="","",INT((T13-Calendario!$B$4)/7)+1)</f>
        <v>7</v>
      </c>
      <c r="W13" s="16">
        <f>IF(U13="","",INT((U13-Calendario!$B$4)/7)+1)</f>
        <v>8</v>
      </c>
      <c r="X13" s="10" t="str">
        <f t="shared" si="6"/>
        <v>OK</v>
      </c>
      <c r="Y13" s="18" t="str">
        <f t="shared" si="7"/>
        <v>ACT-01 → ACT-05 → ACT-06 → ACT-07</v>
      </c>
      <c r="Z13" s="19" t="s">
        <v>60</v>
      </c>
    </row>
    <row r="14" spans="1:26" x14ac:dyDescent="0.35">
      <c r="A14" s="10" t="s">
        <v>62</v>
      </c>
      <c r="B14" s="11" t="s">
        <v>63</v>
      </c>
      <c r="C14" s="12" t="s">
        <v>58</v>
      </c>
      <c r="D14" s="12"/>
      <c r="E14" s="12"/>
      <c r="F14" s="12"/>
      <c r="G14" s="12" t="s">
        <v>46</v>
      </c>
      <c r="H14" s="13" t="s">
        <v>46</v>
      </c>
      <c r="I14" s="14">
        <v>3</v>
      </c>
      <c r="J14" s="14">
        <v>4</v>
      </c>
      <c r="K14" s="14">
        <v>6</v>
      </c>
      <c r="L14" s="15">
        <f t="shared" si="0"/>
        <v>4.166666666666667</v>
      </c>
      <c r="M14" s="15">
        <f t="shared" si="1"/>
        <v>0.5</v>
      </c>
      <c r="N14" s="15">
        <f>IF($H$3&lt;25,"",MAX(0,IF(C14="",0,INDEX($O$6:$O13,MATCH(C14,$A$6:$A13,0))),IF(D14="",0,INDEX($O$6:$O13,MATCH(D14,$A$6:$A13,0))),IF(E14="",0,INDEX($O$6:$O13,MATCH(E14,$A$6:$A13,0))),IF(F14="",0,INDEX($O$6:$O13,MATCH(F14,$A$6:$A13,0)))))</f>
        <v>16.833333333333332</v>
      </c>
      <c r="O14" s="15">
        <f t="shared" si="2"/>
        <v>21</v>
      </c>
      <c r="P14" s="15">
        <f t="shared" si="3"/>
        <v>17.499999999999993</v>
      </c>
      <c r="Q14" s="15">
        <f>IF($H$3&lt;25,"",MIN($O$33,IF(COUNTIF(C15:C$30,A14)=0,1000000000,_xlfn.MINIFS($P15:$P$30,C15:C$30,A14)),IF(COUNTIF(D15:D$30,A14)=0,1000000000,_xlfn.MINIFS($P15:$P$30,D15:D$30,A14)),IF(COUNTIF(E15:E$30,A14)=0,1000000000,_xlfn.MINIFS($P15:$P$30,E15:E$30,A14)),IF(COUNTIF(F15:F$30,A14)=0,1000000000,_xlfn.MINIFS($P15:$P$30,F15:F$30,A14))))</f>
        <v>21.666666666666661</v>
      </c>
      <c r="R14" s="15">
        <f t="shared" si="4"/>
        <v>0.66669999999999996</v>
      </c>
      <c r="S14" s="16" t="str">
        <f t="shared" si="5"/>
        <v>No</v>
      </c>
      <c r="T14" s="17">
        <f>IF(N14="","",WORKDAY(Calendario!$B$3-1,ROUNDDOWN(N14,0)+1,Calendario!$B$8:$B$10))</f>
        <v>46315</v>
      </c>
      <c r="U14" s="17">
        <f>IF(O14="","",WORKDAY(Calendario!$B$3-1,MAX(1,ROUNDUP(O14,0)),Calendario!$B$8:$B$10))</f>
        <v>46321</v>
      </c>
      <c r="V14" s="16">
        <f>IF(T14="","",INT((T14-Calendario!$B$4)/7)+1)</f>
        <v>7</v>
      </c>
      <c r="W14" s="16">
        <f>IF(U14="","",INT((U14-Calendario!$B$4)/7)+1)</f>
        <v>8</v>
      </c>
      <c r="X14" s="10" t="str">
        <f t="shared" si="6"/>
        <v>OK</v>
      </c>
      <c r="Y14" s="18" t="str">
        <f t="shared" si="7"/>
        <v>ACT-01 → ACT-05 → ACT-06 → ACT-07</v>
      </c>
      <c r="Z14" s="19" t="s">
        <v>62</v>
      </c>
    </row>
    <row r="15" spans="1:26" x14ac:dyDescent="0.35">
      <c r="A15" s="10" t="s">
        <v>64</v>
      </c>
      <c r="B15" s="11" t="s">
        <v>65</v>
      </c>
      <c r="C15" s="12" t="s">
        <v>62</v>
      </c>
      <c r="D15" s="12"/>
      <c r="E15" s="12"/>
      <c r="F15" s="12"/>
      <c r="G15" s="12" t="s">
        <v>50</v>
      </c>
      <c r="H15" s="13" t="s">
        <v>47</v>
      </c>
      <c r="I15" s="14">
        <v>3</v>
      </c>
      <c r="J15" s="14">
        <v>4</v>
      </c>
      <c r="K15" s="14">
        <v>6</v>
      </c>
      <c r="L15" s="15">
        <f t="shared" si="0"/>
        <v>4.166666666666667</v>
      </c>
      <c r="M15" s="15">
        <f t="shared" si="1"/>
        <v>0.5</v>
      </c>
      <c r="N15" s="15">
        <f>IF($H$3&lt;25,"",MAX(0,IF(C15="",0,INDEX($O$6:$O14,MATCH(C15,$A$6:$A14,0))),IF(D15="",0,INDEX($O$6:$O14,MATCH(D15,$A$6:$A14,0))),IF(E15="",0,INDEX($O$6:$O14,MATCH(E15,$A$6:$A14,0))),IF(F15="",0,INDEX($O$6:$O14,MATCH(F15,$A$6:$A14,0)))))</f>
        <v>21</v>
      </c>
      <c r="O15" s="15">
        <f t="shared" si="2"/>
        <v>25.166666666666668</v>
      </c>
      <c r="P15" s="15">
        <f t="shared" si="3"/>
        <v>21.666666666666661</v>
      </c>
      <c r="Q15" s="15">
        <f>IF($H$3&lt;25,"",MIN($O$33,IF(COUNTIF(C16:C$30,A15)=0,1000000000,_xlfn.MINIFS($P16:$P$30,C16:C$30,A15)),IF(COUNTIF(D16:D$30,A15)=0,1000000000,_xlfn.MINIFS($P16:$P$30,D16:D$30,A15)),IF(COUNTIF(E16:E$30,A15)=0,1000000000,_xlfn.MINIFS($P16:$P$30,E16:E$30,A15)),IF(COUNTIF(F16:F$30,A15)=0,1000000000,_xlfn.MINIFS($P16:$P$30,F16:F$30,A15))))</f>
        <v>25.833333333333329</v>
      </c>
      <c r="R15" s="15">
        <f t="shared" si="4"/>
        <v>0.66669999999999996</v>
      </c>
      <c r="S15" s="16" t="str">
        <f t="shared" si="5"/>
        <v>No</v>
      </c>
      <c r="T15" s="17">
        <f>IF(N15="","",WORKDAY(Calendario!$B$3-1,ROUNDDOWN(N15,0)+1,Calendario!$B$8:$B$10))</f>
        <v>46322</v>
      </c>
      <c r="U15" s="17">
        <f>IF(O15="","",WORKDAY(Calendario!$B$3-1,MAX(1,ROUNDUP(O15,0)),Calendario!$B$8:$B$10))</f>
        <v>46329</v>
      </c>
      <c r="V15" s="16">
        <f>IF(T15="","",INT((T15-Calendario!$B$4)/7)+1)</f>
        <v>8</v>
      </c>
      <c r="W15" s="16">
        <f>IF(U15="","",INT((U15-Calendario!$B$4)/7)+1)</f>
        <v>9</v>
      </c>
      <c r="X15" s="10" t="str">
        <f t="shared" si="6"/>
        <v>OK</v>
      </c>
      <c r="Y15" s="18" t="str">
        <f t="shared" si="7"/>
        <v>ACT-01 → ACT-05 → ACT-06 → ACT-07</v>
      </c>
      <c r="Z15" s="19" t="s">
        <v>64</v>
      </c>
    </row>
    <row r="16" spans="1:26" ht="28" x14ac:dyDescent="0.35">
      <c r="A16" s="10" t="s">
        <v>66</v>
      </c>
      <c r="B16" s="11" t="s">
        <v>67</v>
      </c>
      <c r="C16" s="12" t="s">
        <v>58</v>
      </c>
      <c r="D16" s="12"/>
      <c r="E16" s="12"/>
      <c r="F16" s="12"/>
      <c r="G16" s="12" t="s">
        <v>53</v>
      </c>
      <c r="H16" s="13" t="s">
        <v>46</v>
      </c>
      <c r="I16" s="14">
        <v>3</v>
      </c>
      <c r="J16" s="14">
        <v>5</v>
      </c>
      <c r="K16" s="14">
        <v>6</v>
      </c>
      <c r="L16" s="15">
        <f t="shared" si="0"/>
        <v>4.833333333333333</v>
      </c>
      <c r="M16" s="15">
        <f t="shared" si="1"/>
        <v>0.5</v>
      </c>
      <c r="N16" s="15">
        <f>IF($H$3&lt;25,"",MAX(0,IF(C16="",0,INDEX($O$6:$O15,MATCH(C16,$A$6:$A15,0))),IF(D16="",0,INDEX($O$6:$O15,MATCH(D16,$A$6:$A15,0))),IF(E16="",0,INDEX($O$6:$O15,MATCH(E16,$A$6:$A15,0))),IF(F16="",0,INDEX($O$6:$O15,MATCH(F16,$A$6:$A15,0)))))</f>
        <v>16.833333333333332</v>
      </c>
      <c r="O16" s="15">
        <f t="shared" si="2"/>
        <v>21.666666666666664</v>
      </c>
      <c r="P16" s="15">
        <f t="shared" si="3"/>
        <v>16.833333333333329</v>
      </c>
      <c r="Q16" s="15">
        <f>IF($H$3&lt;25,"",MIN($O$33,IF(COUNTIF(C17:C$30,A16)=0,1000000000,_xlfn.MINIFS($P17:$P$30,C17:C$30,A16)),IF(COUNTIF(D17:D$30,A16)=0,1000000000,_xlfn.MINIFS($P17:$P$30,D17:D$30,A16)),IF(COUNTIF(E17:E$30,A16)=0,1000000000,_xlfn.MINIFS($P17:$P$30,E17:E$30,A16)),IF(COUNTIF(F17:F$30,A16)=0,1000000000,_xlfn.MINIFS($P17:$P$30,F17:F$30,A16))))</f>
        <v>21.666666666666661</v>
      </c>
      <c r="R16" s="15">
        <f t="shared" si="4"/>
        <v>0</v>
      </c>
      <c r="S16" s="16" t="str">
        <f t="shared" si="5"/>
        <v>Sí</v>
      </c>
      <c r="T16" s="17">
        <f>IF(N16="","",WORKDAY(Calendario!$B$3-1,ROUNDDOWN(N16,0)+1,Calendario!$B$8:$B$10))</f>
        <v>46315</v>
      </c>
      <c r="U16" s="17">
        <f>IF(O16="","",WORKDAY(Calendario!$B$3-1,MAX(1,ROUNDUP(O16,0)),Calendario!$B$8:$B$10))</f>
        <v>46322</v>
      </c>
      <c r="V16" s="16">
        <f>IF(T16="","",INT((T16-Calendario!$B$4)/7)+1)</f>
        <v>7</v>
      </c>
      <c r="W16" s="16">
        <f>IF(U16="","",INT((U16-Calendario!$B$4)/7)+1)</f>
        <v>8</v>
      </c>
      <c r="X16" s="10" t="str">
        <f t="shared" si="6"/>
        <v>OK</v>
      </c>
      <c r="Y16" s="18" t="str">
        <f t="shared" si="7"/>
        <v>ACT-01 → ACT-05 → ACT-06 → ACT-07 → ACT-11</v>
      </c>
      <c r="Z16" s="19" t="s">
        <v>68</v>
      </c>
    </row>
    <row r="17" spans="1:26" ht="28" x14ac:dyDescent="0.35">
      <c r="A17" s="10" t="s">
        <v>69</v>
      </c>
      <c r="B17" s="11" t="s">
        <v>70</v>
      </c>
      <c r="C17" s="12" t="s">
        <v>62</v>
      </c>
      <c r="D17" s="12" t="s">
        <v>66</v>
      </c>
      <c r="E17" s="12"/>
      <c r="F17" s="12"/>
      <c r="G17" s="12" t="s">
        <v>46</v>
      </c>
      <c r="H17" s="13" t="s">
        <v>145</v>
      </c>
      <c r="I17" s="14">
        <v>2</v>
      </c>
      <c r="J17" s="14">
        <v>4</v>
      </c>
      <c r="K17" s="14">
        <v>7</v>
      </c>
      <c r="L17" s="15">
        <f t="shared" si="0"/>
        <v>4.166666666666667</v>
      </c>
      <c r="M17" s="15">
        <f t="shared" si="1"/>
        <v>0.83333333333333337</v>
      </c>
      <c r="N17" s="15">
        <f>IF($H$3&lt;25,"",MAX(0,IF(C17="",0,INDEX($O$6:$O16,MATCH(C17,$A$6:$A16,0))),IF(D17="",0,INDEX($O$6:$O16,MATCH(D17,$A$6:$A16,0))),IF(E17="",0,INDEX($O$6:$O16,MATCH(E17,$A$6:$A16,0))),IF(F17="",0,INDEX($O$6:$O16,MATCH(F17,$A$6:$A16,0)))))</f>
        <v>21.666666666666664</v>
      </c>
      <c r="O17" s="15">
        <f t="shared" si="2"/>
        <v>25.833333333333332</v>
      </c>
      <c r="P17" s="15">
        <f t="shared" si="3"/>
        <v>21.666666666666661</v>
      </c>
      <c r="Q17" s="15">
        <f>IF($H$3&lt;25,"",MIN($O$33,IF(COUNTIF(C18:C$30,A17)=0,1000000000,_xlfn.MINIFS($P18:$P$30,C18:C$30,A17)),IF(COUNTIF(D18:D$30,A17)=0,1000000000,_xlfn.MINIFS($P18:$P$30,D18:D$30,A17)),IF(COUNTIF(E18:E$30,A17)=0,1000000000,_xlfn.MINIFS($P18:$P$30,E18:E$30,A17)),IF(COUNTIF(F18:F$30,A17)=0,1000000000,_xlfn.MINIFS($P18:$P$30,F18:F$30,A17))))</f>
        <v>25.833333333333329</v>
      </c>
      <c r="R17" s="15">
        <f t="shared" si="4"/>
        <v>0</v>
      </c>
      <c r="S17" s="16" t="str">
        <f t="shared" si="5"/>
        <v>Sí</v>
      </c>
      <c r="T17" s="17">
        <f>IF(N17="","",WORKDAY(Calendario!$B$3-1,ROUNDDOWN(N17,0)+1,Calendario!$B$8:$B$10))</f>
        <v>46322</v>
      </c>
      <c r="U17" s="17">
        <f>IF(O17="","",WORKDAY(Calendario!$B$3-1,MAX(1,ROUNDUP(O17,0)),Calendario!$B$8:$B$10))</f>
        <v>46329</v>
      </c>
      <c r="V17" s="16">
        <f>IF(T17="","",INT((T17-Calendario!$B$4)/7)+1)</f>
        <v>8</v>
      </c>
      <c r="W17" s="16">
        <f>IF(U17="","",INT((U17-Calendario!$B$4)/7)+1)</f>
        <v>9</v>
      </c>
      <c r="X17" s="10" t="str">
        <f t="shared" si="6"/>
        <v>OK</v>
      </c>
      <c r="Y17" s="18" t="str">
        <f t="shared" si="7"/>
        <v>ACT-01 → ACT-05 → ACT-06 → ACT-07 → ACT-11 → ACT-12</v>
      </c>
      <c r="Z17" s="19" t="s">
        <v>71</v>
      </c>
    </row>
    <row r="18" spans="1:26" x14ac:dyDescent="0.35">
      <c r="A18" s="10" t="s">
        <v>72</v>
      </c>
      <c r="B18" s="11" t="s">
        <v>73</v>
      </c>
      <c r="C18" s="12" t="s">
        <v>69</v>
      </c>
      <c r="D18" s="12"/>
      <c r="E18" s="12"/>
      <c r="F18" s="12"/>
      <c r="G18" s="12" t="s">
        <v>53</v>
      </c>
      <c r="H18" s="13" t="s">
        <v>43</v>
      </c>
      <c r="I18" s="14">
        <v>3</v>
      </c>
      <c r="J18" s="14">
        <v>4</v>
      </c>
      <c r="K18" s="14">
        <v>6</v>
      </c>
      <c r="L18" s="15">
        <f t="shared" si="0"/>
        <v>4.166666666666667</v>
      </c>
      <c r="M18" s="15">
        <f t="shared" si="1"/>
        <v>0.5</v>
      </c>
      <c r="N18" s="15">
        <f>IF($H$3&lt;25,"",MAX(0,IF(C18="",0,INDEX($O$6:$O17,MATCH(C18,$A$6:$A17,0))),IF(D18="",0,INDEX($O$6:$O17,MATCH(D18,$A$6:$A17,0))),IF(E18="",0,INDEX($O$6:$O17,MATCH(E18,$A$6:$A17,0))),IF(F18="",0,INDEX($O$6:$O17,MATCH(F18,$A$6:$A17,0)))))</f>
        <v>25.833333333333332</v>
      </c>
      <c r="O18" s="15">
        <f t="shared" si="2"/>
        <v>30</v>
      </c>
      <c r="P18" s="15">
        <f t="shared" si="3"/>
        <v>25.999999999999996</v>
      </c>
      <c r="Q18" s="15">
        <f>IF($H$3&lt;25,"",MIN($O$33,IF(COUNTIF(C19:C$30,A18)=0,1000000000,_xlfn.MINIFS($P19:$P$30,C19:C$30,A18)),IF(COUNTIF(D19:D$30,A18)=0,1000000000,_xlfn.MINIFS($P19:$P$30,D19:D$30,A18)),IF(COUNTIF(E19:E$30,A18)=0,1000000000,_xlfn.MINIFS($P19:$P$30,E19:E$30,A18)),IF(COUNTIF(F19:F$30,A18)=0,1000000000,_xlfn.MINIFS($P19:$P$30,F19:F$30,A18))))</f>
        <v>30.166666666666664</v>
      </c>
      <c r="R18" s="15">
        <f t="shared" si="4"/>
        <v>0.16669999999999999</v>
      </c>
      <c r="S18" s="16" t="str">
        <f t="shared" si="5"/>
        <v>No</v>
      </c>
      <c r="T18" s="17">
        <f>IF(N18="","",WORKDAY(Calendario!$B$3-1,ROUNDDOWN(N18,0)+1,Calendario!$B$8:$B$10))</f>
        <v>46329</v>
      </c>
      <c r="U18" s="17">
        <f>IF(O18="","",WORKDAY(Calendario!$B$3-1,MAX(1,ROUNDUP(O18,0)),Calendario!$B$8:$B$10))</f>
        <v>46335</v>
      </c>
      <c r="V18" s="16">
        <f>IF(T18="","",INT((T18-Calendario!$B$4)/7)+1)</f>
        <v>9</v>
      </c>
      <c r="W18" s="16">
        <f>IF(U18="","",INT((U18-Calendario!$B$4)/7)+1)</f>
        <v>10</v>
      </c>
      <c r="X18" s="10" t="str">
        <f t="shared" si="6"/>
        <v>OK</v>
      </c>
      <c r="Y18" s="18" t="str">
        <f t="shared" si="7"/>
        <v>ACT-01 → ACT-05 → ACT-06 → ACT-07 → ACT-11 → ACT-12</v>
      </c>
      <c r="Z18" s="19" t="s">
        <v>74</v>
      </c>
    </row>
    <row r="19" spans="1:26" ht="28" x14ac:dyDescent="0.35">
      <c r="A19" s="10" t="s">
        <v>75</v>
      </c>
      <c r="B19" s="11" t="s">
        <v>76</v>
      </c>
      <c r="C19" s="12" t="s">
        <v>69</v>
      </c>
      <c r="D19" s="12"/>
      <c r="E19" s="12"/>
      <c r="F19" s="12"/>
      <c r="G19" s="12" t="s">
        <v>46</v>
      </c>
      <c r="H19" s="13" t="s">
        <v>50</v>
      </c>
      <c r="I19" s="14">
        <v>2</v>
      </c>
      <c r="J19" s="14">
        <v>4</v>
      </c>
      <c r="K19" s="14">
        <v>6</v>
      </c>
      <c r="L19" s="15">
        <f t="shared" si="0"/>
        <v>4</v>
      </c>
      <c r="M19" s="15">
        <f t="shared" si="1"/>
        <v>0.66666666666666663</v>
      </c>
      <c r="N19" s="15">
        <f>IF($H$3&lt;25,"",MAX(0,IF(C19="",0,INDEX($O$6:$O18,MATCH(C19,$A$6:$A18,0))),IF(D19="",0,INDEX($O$6:$O18,MATCH(D19,$A$6:$A18,0))),IF(E19="",0,INDEX($O$6:$O18,MATCH(E19,$A$6:$A18,0))),IF(F19="",0,INDEX($O$6:$O18,MATCH(F19,$A$6:$A18,0)))))</f>
        <v>25.833333333333332</v>
      </c>
      <c r="O19" s="15">
        <f t="shared" si="2"/>
        <v>29.833333333333332</v>
      </c>
      <c r="P19" s="15">
        <f t="shared" si="3"/>
        <v>26.166666666666664</v>
      </c>
      <c r="Q19" s="15">
        <f>IF($H$3&lt;25,"",MIN($O$33,IF(COUNTIF(C20:C$30,A19)=0,1000000000,_xlfn.MINIFS($P20:$P$30,C20:C$30,A19)),IF(COUNTIF(D20:D$30,A19)=0,1000000000,_xlfn.MINIFS($P20:$P$30,D20:D$30,A19)),IF(COUNTIF(E20:E$30,A19)=0,1000000000,_xlfn.MINIFS($P20:$P$30,E20:E$30,A19)),IF(COUNTIF(F20:F$30,A19)=0,1000000000,_xlfn.MINIFS($P20:$P$30,F20:F$30,A19))))</f>
        <v>30.166666666666664</v>
      </c>
      <c r="R19" s="15">
        <f t="shared" si="4"/>
        <v>0.33329999999999999</v>
      </c>
      <c r="S19" s="16" t="str">
        <f t="shared" si="5"/>
        <v>No</v>
      </c>
      <c r="T19" s="17">
        <f>IF(N19="","",WORKDAY(Calendario!$B$3-1,ROUNDDOWN(N19,0)+1,Calendario!$B$8:$B$10))</f>
        <v>46329</v>
      </c>
      <c r="U19" s="17">
        <f>IF(O19="","",WORKDAY(Calendario!$B$3-1,MAX(1,ROUNDUP(O19,0)),Calendario!$B$8:$B$10))</f>
        <v>46335</v>
      </c>
      <c r="V19" s="16">
        <f>IF(T19="","",INT((T19-Calendario!$B$4)/7)+1)</f>
        <v>9</v>
      </c>
      <c r="W19" s="16">
        <f>IF(U19="","",INT((U19-Calendario!$B$4)/7)+1)</f>
        <v>10</v>
      </c>
      <c r="X19" s="10" t="str">
        <f t="shared" si="6"/>
        <v>OK</v>
      </c>
      <c r="Y19" s="18" t="str">
        <f t="shared" si="7"/>
        <v>ACT-01 → ACT-05 → ACT-06 → ACT-07 → ACT-11 → ACT-12</v>
      </c>
      <c r="Z19" s="19" t="s">
        <v>71</v>
      </c>
    </row>
    <row r="20" spans="1:26" ht="28" x14ac:dyDescent="0.35">
      <c r="A20" s="10" t="s">
        <v>77</v>
      </c>
      <c r="B20" s="11" t="s">
        <v>78</v>
      </c>
      <c r="C20" s="12" t="s">
        <v>64</v>
      </c>
      <c r="D20" s="12" t="s">
        <v>69</v>
      </c>
      <c r="E20" s="12"/>
      <c r="F20" s="12"/>
      <c r="G20" s="12" t="s">
        <v>50</v>
      </c>
      <c r="H20" s="13" t="s">
        <v>53</v>
      </c>
      <c r="I20" s="14">
        <v>3</v>
      </c>
      <c r="J20" s="14">
        <v>4</v>
      </c>
      <c r="K20" s="14">
        <v>6</v>
      </c>
      <c r="L20" s="15">
        <f t="shared" si="0"/>
        <v>4.166666666666667</v>
      </c>
      <c r="M20" s="15">
        <f t="shared" si="1"/>
        <v>0.5</v>
      </c>
      <c r="N20" s="15">
        <f>IF($H$3&lt;25,"",MAX(0,IF(C20="",0,INDEX($O$6:$O19,MATCH(C20,$A$6:$A19,0))),IF(D20="",0,INDEX($O$6:$O19,MATCH(D20,$A$6:$A19,0))),IF(E20="",0,INDEX($O$6:$O19,MATCH(E20,$A$6:$A19,0))),IF(F20="",0,INDEX($O$6:$O19,MATCH(F20,$A$6:$A19,0)))))</f>
        <v>25.833333333333332</v>
      </c>
      <c r="O20" s="15">
        <f t="shared" si="2"/>
        <v>30</v>
      </c>
      <c r="P20" s="15">
        <f t="shared" si="3"/>
        <v>25.833333333333329</v>
      </c>
      <c r="Q20" s="15">
        <f>IF($H$3&lt;25,"",MIN($O$33,IF(COUNTIF(C21:C$30,A20)=0,1000000000,_xlfn.MINIFS($P21:$P$30,C21:C$30,A20)),IF(COUNTIF(D21:D$30,A20)=0,1000000000,_xlfn.MINIFS($P21:$P$30,D21:D$30,A20)),IF(COUNTIF(E21:E$30,A20)=0,1000000000,_xlfn.MINIFS($P21:$P$30,E21:E$30,A20)),IF(COUNTIF(F21:F$30,A20)=0,1000000000,_xlfn.MINIFS($P21:$P$30,F21:F$30,A20))))</f>
        <v>29.999999999999996</v>
      </c>
      <c r="R20" s="15">
        <f t="shared" si="4"/>
        <v>0</v>
      </c>
      <c r="S20" s="16" t="str">
        <f t="shared" si="5"/>
        <v>Sí</v>
      </c>
      <c r="T20" s="17">
        <f>IF(N20="","",WORKDAY(Calendario!$B$3-1,ROUNDDOWN(N20,0)+1,Calendario!$B$8:$B$10))</f>
        <v>46329</v>
      </c>
      <c r="U20" s="17">
        <f>IF(O20="","",WORKDAY(Calendario!$B$3-1,MAX(1,ROUNDUP(O20,0)),Calendario!$B$8:$B$10))</f>
        <v>46335</v>
      </c>
      <c r="V20" s="16">
        <f>IF(T20="","",INT((T20-Calendario!$B$4)/7)+1)</f>
        <v>9</v>
      </c>
      <c r="W20" s="16">
        <f>IF(U20="","",INT((U20-Calendario!$B$4)/7)+1)</f>
        <v>10</v>
      </c>
      <c r="X20" s="10" t="str">
        <f t="shared" si="6"/>
        <v>OK</v>
      </c>
      <c r="Y20" s="18" t="str">
        <f t="shared" si="7"/>
        <v>ACT-01 → ACT-05 → ACT-06 → ACT-07 → ACT-11 → ACT-12 → ACT-15</v>
      </c>
      <c r="Z20" s="19" t="s">
        <v>79</v>
      </c>
    </row>
    <row r="21" spans="1:26" x14ac:dyDescent="0.35">
      <c r="A21" s="10" t="s">
        <v>80</v>
      </c>
      <c r="B21" s="11" t="s">
        <v>81</v>
      </c>
      <c r="C21" s="12" t="s">
        <v>60</v>
      </c>
      <c r="D21" s="12" t="s">
        <v>69</v>
      </c>
      <c r="E21" s="12"/>
      <c r="F21" s="12"/>
      <c r="G21" s="12" t="s">
        <v>53</v>
      </c>
      <c r="H21" s="13" t="s">
        <v>46</v>
      </c>
      <c r="I21" s="14">
        <v>3</v>
      </c>
      <c r="J21" s="14">
        <v>4</v>
      </c>
      <c r="K21" s="14">
        <v>6</v>
      </c>
      <c r="L21" s="15">
        <f t="shared" si="0"/>
        <v>4.166666666666667</v>
      </c>
      <c r="M21" s="15">
        <f t="shared" si="1"/>
        <v>0.5</v>
      </c>
      <c r="N21" s="15">
        <f>IF($H$3&lt;25,"",MAX(0,IF(C21="",0,INDEX($O$6:$O20,MATCH(C21,$A$6:$A20,0))),IF(D21="",0,INDEX($O$6:$O20,MATCH(D21,$A$6:$A20,0))),IF(E21="",0,INDEX($O$6:$O20,MATCH(E21,$A$6:$A20,0))),IF(F21="",0,INDEX($O$6:$O20,MATCH(F21,$A$6:$A20,0)))))</f>
        <v>25.833333333333332</v>
      </c>
      <c r="O21" s="15">
        <f t="shared" si="2"/>
        <v>30</v>
      </c>
      <c r="P21" s="15">
        <f t="shared" si="3"/>
        <v>25.833333333333329</v>
      </c>
      <c r="Q21" s="15">
        <f>IF($H$3&lt;25,"",MIN($O$33,IF(COUNTIF(C22:C$30,A21)=0,1000000000,_xlfn.MINIFS($P22:$P$30,C22:C$30,A21)),IF(COUNTIF(D22:D$30,A21)=0,1000000000,_xlfn.MINIFS($P22:$P$30,D22:D$30,A21)),IF(COUNTIF(E22:E$30,A21)=0,1000000000,_xlfn.MINIFS($P22:$P$30,E22:E$30,A21)),IF(COUNTIF(F22:F$30,A21)=0,1000000000,_xlfn.MINIFS($P22:$P$30,F22:F$30,A21))))</f>
        <v>29.999999999999996</v>
      </c>
      <c r="R21" s="15">
        <f t="shared" si="4"/>
        <v>0</v>
      </c>
      <c r="S21" s="16" t="str">
        <f t="shared" si="5"/>
        <v>Sí</v>
      </c>
      <c r="T21" s="17">
        <f>IF(N21="","",WORKDAY(Calendario!$B$3-1,ROUNDDOWN(N21,0)+1,Calendario!$B$8:$B$10))</f>
        <v>46329</v>
      </c>
      <c r="U21" s="17">
        <f>IF(O21="","",WORKDAY(Calendario!$B$3-1,MAX(1,ROUNDUP(O21,0)),Calendario!$B$8:$B$10))</f>
        <v>46335</v>
      </c>
      <c r="V21" s="16">
        <f>IF(T21="","",INT((T21-Calendario!$B$4)/7)+1)</f>
        <v>9</v>
      </c>
      <c r="W21" s="16">
        <f>IF(U21="","",INT((U21-Calendario!$B$4)/7)+1)</f>
        <v>10</v>
      </c>
      <c r="X21" s="10" t="str">
        <f t="shared" si="6"/>
        <v>OK</v>
      </c>
      <c r="Y21" s="18" t="str">
        <f t="shared" si="7"/>
        <v>ACT-01 → ACT-05 → ACT-06 → ACT-07 → ACT-11 → ACT-12 → ACT-15 → ACT-16</v>
      </c>
      <c r="Z21" s="19" t="s">
        <v>72</v>
      </c>
    </row>
    <row r="22" spans="1:26" x14ac:dyDescent="0.35">
      <c r="A22" s="10" t="s">
        <v>79</v>
      </c>
      <c r="B22" s="11" t="s">
        <v>82</v>
      </c>
      <c r="C22" s="12" t="s">
        <v>72</v>
      </c>
      <c r="D22" s="12" t="s">
        <v>75</v>
      </c>
      <c r="E22" s="12" t="s">
        <v>77</v>
      </c>
      <c r="F22" s="12" t="s">
        <v>80</v>
      </c>
      <c r="G22" s="12" t="s">
        <v>47</v>
      </c>
      <c r="H22" s="13" t="s">
        <v>43</v>
      </c>
      <c r="I22" s="14">
        <v>2</v>
      </c>
      <c r="J22" s="14">
        <v>4</v>
      </c>
      <c r="K22" s="14">
        <v>6</v>
      </c>
      <c r="L22" s="15">
        <f t="shared" si="0"/>
        <v>4</v>
      </c>
      <c r="M22" s="15">
        <f t="shared" si="1"/>
        <v>0.66666666666666663</v>
      </c>
      <c r="N22" s="15">
        <f>IF($H$3&lt;25,"",MAX(0,IF(C22="",0,INDEX($O$6:$O21,MATCH(C22,$A$6:$A21,0))),IF(D22="",0,INDEX($O$6:$O21,MATCH(D22,$A$6:$A21,0))),IF(E22="",0,INDEX($O$6:$O21,MATCH(E22,$A$6:$A21,0))),IF(F22="",0,INDEX($O$6:$O21,MATCH(F22,$A$6:$A21,0)))))</f>
        <v>30</v>
      </c>
      <c r="O22" s="15">
        <f t="shared" si="2"/>
        <v>34</v>
      </c>
      <c r="P22" s="15">
        <f t="shared" si="3"/>
        <v>30.166666666666664</v>
      </c>
      <c r="Q22" s="15">
        <f>IF($H$3&lt;25,"",MIN($O$33,IF(COUNTIF(C23:C$30,A22)=0,1000000000,_xlfn.MINIFS($P23:$P$30,C23:C$30,A22)),IF(COUNTIF(D23:D$30,A22)=0,1000000000,_xlfn.MINIFS($P23:$P$30,D23:D$30,A22)),IF(COUNTIF(E23:E$30,A22)=0,1000000000,_xlfn.MINIFS($P23:$P$30,E23:E$30,A22)),IF(COUNTIF(F23:F$30,A22)=0,1000000000,_xlfn.MINIFS($P23:$P$30,F23:F$30,A22))))</f>
        <v>34.166666666666664</v>
      </c>
      <c r="R22" s="15">
        <f t="shared" si="4"/>
        <v>0.16669999999999999</v>
      </c>
      <c r="S22" s="16" t="str">
        <f t="shared" si="5"/>
        <v>No</v>
      </c>
      <c r="T22" s="17">
        <f>IF(N22="","",WORKDAY(Calendario!$B$3-1,ROUNDDOWN(N22,0)+1,Calendario!$B$8:$B$10))</f>
        <v>46336</v>
      </c>
      <c r="U22" s="17">
        <f>IF(O22="","",WORKDAY(Calendario!$B$3-1,MAX(1,ROUNDUP(O22,0)),Calendario!$B$8:$B$10))</f>
        <v>46339</v>
      </c>
      <c r="V22" s="16">
        <f>IF(T22="","",INT((T22-Calendario!$B$4)/7)+1)</f>
        <v>10</v>
      </c>
      <c r="W22" s="16">
        <f>IF(U22="","",INT((U22-Calendario!$B$4)/7)+1)</f>
        <v>10</v>
      </c>
      <c r="X22" s="10" t="str">
        <f t="shared" si="6"/>
        <v>OK</v>
      </c>
      <c r="Y22" s="18" t="str">
        <f t="shared" si="7"/>
        <v>ACT-01 → ACT-05 → ACT-06 → ACT-07 → ACT-11 → ACT-12 → ACT-15 → ACT-16</v>
      </c>
      <c r="Z22" s="19" t="s">
        <v>83</v>
      </c>
    </row>
    <row r="23" spans="1:26" x14ac:dyDescent="0.35">
      <c r="A23" s="10" t="s">
        <v>83</v>
      </c>
      <c r="B23" s="11" t="s">
        <v>84</v>
      </c>
      <c r="C23" s="12" t="s">
        <v>64</v>
      </c>
      <c r="D23" s="12"/>
      <c r="E23" s="12"/>
      <c r="F23" s="12"/>
      <c r="G23" s="12" t="s">
        <v>43</v>
      </c>
      <c r="H23" s="13" t="s">
        <v>46</v>
      </c>
      <c r="I23" s="14">
        <v>3</v>
      </c>
      <c r="J23" s="14">
        <v>4</v>
      </c>
      <c r="K23" s="14">
        <v>6</v>
      </c>
      <c r="L23" s="15">
        <f t="shared" si="0"/>
        <v>4.166666666666667</v>
      </c>
      <c r="M23" s="15">
        <f t="shared" si="1"/>
        <v>0.5</v>
      </c>
      <c r="N23" s="15">
        <f>IF($H$3&lt;25,"",MAX(0,IF(C23="",0,INDEX($O$6:$O22,MATCH(C23,$A$6:$A22,0))),IF(D23="",0,INDEX($O$6:$O22,MATCH(D23,$A$6:$A22,0))),IF(E23="",0,INDEX($O$6:$O22,MATCH(E23,$A$6:$A22,0))),IF(F23="",0,INDEX($O$6:$O22,MATCH(F23,$A$6:$A22,0)))))</f>
        <v>25.166666666666668</v>
      </c>
      <c r="O23" s="15">
        <f t="shared" si="2"/>
        <v>29.333333333333336</v>
      </c>
      <c r="P23" s="15">
        <f t="shared" si="3"/>
        <v>25.833333333333329</v>
      </c>
      <c r="Q23" s="15">
        <f>IF($H$3&lt;25,"",MIN($O$33,IF(COUNTIF(C24:C$30,A23)=0,1000000000,_xlfn.MINIFS($P24:$P$30,C24:C$30,A23)),IF(COUNTIF(D24:D$30,A23)=0,1000000000,_xlfn.MINIFS($P24:$P$30,D24:D$30,A23)),IF(COUNTIF(E24:E$30,A23)=0,1000000000,_xlfn.MINIFS($P24:$P$30,E24:E$30,A23)),IF(COUNTIF(F24:F$30,A23)=0,1000000000,_xlfn.MINIFS($P24:$P$30,F24:F$30,A23))))</f>
        <v>29.999999999999996</v>
      </c>
      <c r="R23" s="15">
        <f t="shared" si="4"/>
        <v>0.66669999999999996</v>
      </c>
      <c r="S23" s="16" t="str">
        <f t="shared" si="5"/>
        <v>No</v>
      </c>
      <c r="T23" s="17">
        <f>IF(N23="","",WORKDAY(Calendario!$B$3-1,ROUNDDOWN(N23,0)+1,Calendario!$B$8:$B$10))</f>
        <v>46329</v>
      </c>
      <c r="U23" s="17">
        <f>IF(O23="","",WORKDAY(Calendario!$B$3-1,MAX(1,ROUNDUP(O23,0)),Calendario!$B$8:$B$10))</f>
        <v>46335</v>
      </c>
      <c r="V23" s="16">
        <f>IF(T23="","",INT((T23-Calendario!$B$4)/7)+1)</f>
        <v>9</v>
      </c>
      <c r="W23" s="16">
        <f>IF(U23="","",INT((U23-Calendario!$B$4)/7)+1)</f>
        <v>10</v>
      </c>
      <c r="X23" s="10" t="str">
        <f t="shared" si="6"/>
        <v>OK</v>
      </c>
      <c r="Y23" s="18" t="str">
        <f t="shared" si="7"/>
        <v>ACT-01 → ACT-05 → ACT-06 → ACT-07 → ACT-11 → ACT-12 → ACT-15 → ACT-16</v>
      </c>
      <c r="Z23" s="19" t="s">
        <v>85</v>
      </c>
    </row>
    <row r="24" spans="1:26" x14ac:dyDescent="0.35">
      <c r="A24" s="10" t="s">
        <v>68</v>
      </c>
      <c r="B24" s="11" t="s">
        <v>86</v>
      </c>
      <c r="C24" s="12" t="s">
        <v>80</v>
      </c>
      <c r="D24" s="12" t="s">
        <v>83</v>
      </c>
      <c r="E24" s="12"/>
      <c r="F24" s="12"/>
      <c r="G24" s="12" t="s">
        <v>47</v>
      </c>
      <c r="H24" s="13" t="s">
        <v>46</v>
      </c>
      <c r="I24" s="14">
        <v>3</v>
      </c>
      <c r="J24" s="14">
        <v>4</v>
      </c>
      <c r="K24" s="14">
        <v>6</v>
      </c>
      <c r="L24" s="15">
        <f t="shared" si="0"/>
        <v>4.166666666666667</v>
      </c>
      <c r="M24" s="15">
        <f t="shared" si="1"/>
        <v>0.5</v>
      </c>
      <c r="N24" s="15">
        <f>IF($H$3&lt;25,"",MAX(0,IF(C24="",0,INDEX($O$6:$O23,MATCH(C24,$A$6:$A23,0))),IF(D24="",0,INDEX($O$6:$O23,MATCH(D24,$A$6:$A23,0))),IF(E24="",0,INDEX($O$6:$O23,MATCH(E24,$A$6:$A23,0))),IF(F24="",0,INDEX($O$6:$O23,MATCH(F24,$A$6:$A23,0)))))</f>
        <v>30</v>
      </c>
      <c r="O24" s="15">
        <f t="shared" si="2"/>
        <v>34.166666666666664</v>
      </c>
      <c r="P24" s="15">
        <f t="shared" si="3"/>
        <v>29.999999999999996</v>
      </c>
      <c r="Q24" s="15">
        <f>IF($H$3&lt;25,"",MIN($O$33,IF(COUNTIF(C25:C$30,A24)=0,1000000000,_xlfn.MINIFS($P25:$P$30,C25:C$30,A24)),IF(COUNTIF(D25:D$30,A24)=0,1000000000,_xlfn.MINIFS($P25:$P$30,D25:D$30,A24)),IF(COUNTIF(E25:E$30,A24)=0,1000000000,_xlfn.MINIFS($P25:$P$30,E25:E$30,A24)),IF(COUNTIF(F25:F$30,A24)=0,1000000000,_xlfn.MINIFS($P25:$P$30,F25:F$30,A24))))</f>
        <v>34.166666666666664</v>
      </c>
      <c r="R24" s="15">
        <f t="shared" si="4"/>
        <v>0</v>
      </c>
      <c r="S24" s="16" t="str">
        <f t="shared" si="5"/>
        <v>Sí</v>
      </c>
      <c r="T24" s="17">
        <f>IF(N24="","",WORKDAY(Calendario!$B$3-1,ROUNDDOWN(N24,0)+1,Calendario!$B$8:$B$10))</f>
        <v>46336</v>
      </c>
      <c r="U24" s="17">
        <f>IF(O24="","",WORKDAY(Calendario!$B$3-1,MAX(1,ROUNDUP(O24,0)),Calendario!$B$8:$B$10))</f>
        <v>46343</v>
      </c>
      <c r="V24" s="16">
        <f>IF(T24="","",INT((T24-Calendario!$B$4)/7)+1)</f>
        <v>10</v>
      </c>
      <c r="W24" s="16">
        <f>IF(U24="","",INT((U24-Calendario!$B$4)/7)+1)</f>
        <v>11</v>
      </c>
      <c r="X24" s="10" t="str">
        <f t="shared" si="6"/>
        <v>OK</v>
      </c>
      <c r="Y24" s="18" t="str">
        <f t="shared" si="7"/>
        <v>ACT-01 → ACT-05 → ACT-06 → ACT-07 → ACT-11 → ACT-12 → ACT-15 → ACT-16 → ACT-19</v>
      </c>
      <c r="Z24" s="19" t="s">
        <v>87</v>
      </c>
    </row>
    <row r="25" spans="1:26" x14ac:dyDescent="0.35">
      <c r="A25" s="10" t="s">
        <v>71</v>
      </c>
      <c r="B25" s="11" t="s">
        <v>88</v>
      </c>
      <c r="C25" s="12" t="s">
        <v>77</v>
      </c>
      <c r="D25" s="12" t="s">
        <v>83</v>
      </c>
      <c r="E25" s="12"/>
      <c r="F25" s="12"/>
      <c r="G25" s="12" t="s">
        <v>43</v>
      </c>
      <c r="H25" s="13" t="s">
        <v>145</v>
      </c>
      <c r="I25" s="14">
        <v>3</v>
      </c>
      <c r="J25" s="14">
        <v>4</v>
      </c>
      <c r="K25" s="14">
        <v>6</v>
      </c>
      <c r="L25" s="15">
        <f t="shared" si="0"/>
        <v>4.166666666666667</v>
      </c>
      <c r="M25" s="15">
        <f t="shared" si="1"/>
        <v>0.5</v>
      </c>
      <c r="N25" s="15">
        <f>IF($H$3&lt;25,"",MAX(0,IF(C25="",0,INDEX($O$6:$O24,MATCH(C25,$A$6:$A24,0))),IF(D25="",0,INDEX($O$6:$O24,MATCH(D25,$A$6:$A24,0))),IF(E25="",0,INDEX($O$6:$O24,MATCH(E25,$A$6:$A24,0))),IF(F25="",0,INDEX($O$6:$O24,MATCH(F25,$A$6:$A24,0)))))</f>
        <v>30</v>
      </c>
      <c r="O25" s="15">
        <f t="shared" si="2"/>
        <v>34.166666666666664</v>
      </c>
      <c r="P25" s="15">
        <f t="shared" si="3"/>
        <v>29.999999999999996</v>
      </c>
      <c r="Q25" s="15">
        <f>IF($H$3&lt;25,"",MIN($O$33,IF(COUNTIF(C26:C$30,A25)=0,1000000000,_xlfn.MINIFS($P26:$P$30,C26:C$30,A25)),IF(COUNTIF(D26:D$30,A25)=0,1000000000,_xlfn.MINIFS($P26:$P$30,D26:D$30,A25)),IF(COUNTIF(E26:E$30,A25)=0,1000000000,_xlfn.MINIFS($P26:$P$30,E26:E$30,A25)),IF(COUNTIF(F26:F$30,A25)=0,1000000000,_xlfn.MINIFS($P26:$P$30,F26:F$30,A25))))</f>
        <v>34.166666666666664</v>
      </c>
      <c r="R25" s="15">
        <f t="shared" si="4"/>
        <v>0</v>
      </c>
      <c r="S25" s="16" t="str">
        <f t="shared" si="5"/>
        <v>Sí</v>
      </c>
      <c r="T25" s="17">
        <f>IF(N25="","",WORKDAY(Calendario!$B$3-1,ROUNDDOWN(N25,0)+1,Calendario!$B$8:$B$10))</f>
        <v>46336</v>
      </c>
      <c r="U25" s="17">
        <f>IF(O25="","",WORKDAY(Calendario!$B$3-1,MAX(1,ROUNDUP(O25,0)),Calendario!$B$8:$B$10))</f>
        <v>46343</v>
      </c>
      <c r="V25" s="16">
        <f>IF(T25="","",INT((T25-Calendario!$B$4)/7)+1)</f>
        <v>10</v>
      </c>
      <c r="W25" s="16">
        <f>IF(U25="","",INT((U25-Calendario!$B$4)/7)+1)</f>
        <v>11</v>
      </c>
      <c r="X25" s="10" t="str">
        <f t="shared" si="6"/>
        <v>OK</v>
      </c>
      <c r="Y25" s="18" t="str">
        <f t="shared" si="7"/>
        <v>ACT-01 → ACT-05 → ACT-06 → ACT-07 → ACT-11 → ACT-12 → ACT-15 → ACT-16 → ACT-19 → ACT-20</v>
      </c>
      <c r="Z25" s="19" t="s">
        <v>89</v>
      </c>
    </row>
    <row r="26" spans="1:26" x14ac:dyDescent="0.35">
      <c r="A26" s="10" t="s">
        <v>74</v>
      </c>
      <c r="B26" s="11" t="s">
        <v>90</v>
      </c>
      <c r="C26" s="12" t="s">
        <v>79</v>
      </c>
      <c r="D26" s="12" t="s">
        <v>68</v>
      </c>
      <c r="E26" s="12" t="s">
        <v>71</v>
      </c>
      <c r="F26" s="12"/>
      <c r="G26" s="12" t="s">
        <v>50</v>
      </c>
      <c r="H26" s="13" t="s">
        <v>53</v>
      </c>
      <c r="I26" s="14">
        <v>4</v>
      </c>
      <c r="J26" s="14">
        <v>5</v>
      </c>
      <c r="K26" s="14">
        <v>7</v>
      </c>
      <c r="L26" s="15">
        <f t="shared" si="0"/>
        <v>5.166666666666667</v>
      </c>
      <c r="M26" s="15">
        <f t="shared" si="1"/>
        <v>0.5</v>
      </c>
      <c r="N26" s="15">
        <f>IF($H$3&lt;25,"",MAX(0,IF(C26="",0,INDEX($O$6:$O25,MATCH(C26,$A$6:$A25,0))),IF(D26="",0,INDEX($O$6:$O25,MATCH(D26,$A$6:$A25,0))),IF(E26="",0,INDEX($O$6:$O25,MATCH(E26,$A$6:$A25,0))),IF(F26="",0,INDEX($O$6:$O25,MATCH(F26,$A$6:$A25,0)))))</f>
        <v>34.166666666666664</v>
      </c>
      <c r="O26" s="15">
        <f t="shared" si="2"/>
        <v>39.333333333333329</v>
      </c>
      <c r="P26" s="15">
        <f t="shared" si="3"/>
        <v>34.166666666666664</v>
      </c>
      <c r="Q26" s="15">
        <f>IF($H$3&lt;25,"",MIN($O$33,IF(COUNTIF(C27:C$30,A26)=0,1000000000,_xlfn.MINIFS($P27:$P$30,C27:C$30,A26)),IF(COUNTIF(D27:D$30,A26)=0,1000000000,_xlfn.MINIFS($P27:$P$30,D27:D$30,A26)),IF(COUNTIF(E27:E$30,A26)=0,1000000000,_xlfn.MINIFS($P27:$P$30,E27:E$30,A26)),IF(COUNTIF(F27:F$30,A26)=0,1000000000,_xlfn.MINIFS($P27:$P$30,F27:F$30,A26))))</f>
        <v>39.333333333333329</v>
      </c>
      <c r="R26" s="15">
        <f t="shared" si="4"/>
        <v>0</v>
      </c>
      <c r="S26" s="16" t="str">
        <f t="shared" si="5"/>
        <v>Sí</v>
      </c>
      <c r="T26" s="17">
        <f>IF(N26="","",WORKDAY(Calendario!$B$3-1,ROUNDDOWN(N26,0)+1,Calendario!$B$8:$B$10))</f>
        <v>46343</v>
      </c>
      <c r="U26" s="17">
        <f>IF(O26="","",WORKDAY(Calendario!$B$3-1,MAX(1,ROUNDUP(O26,0)),Calendario!$B$8:$B$10))</f>
        <v>46350</v>
      </c>
      <c r="V26" s="16">
        <f>IF(T26="","",INT((T26-Calendario!$B$4)/7)+1)</f>
        <v>11</v>
      </c>
      <c r="W26" s="16">
        <f>IF(U26="","",INT((U26-Calendario!$B$4)/7)+1)</f>
        <v>12</v>
      </c>
      <c r="X26" s="10" t="str">
        <f t="shared" si="6"/>
        <v>OK</v>
      </c>
      <c r="Y26" s="18" t="str">
        <f t="shared" si="7"/>
        <v>ACT-01 → ACT-05 → ACT-06 → ACT-07 → ACT-11 → ACT-12 → ACT-15 → ACT-16 → ACT-19 → ACT-20 → ACT-21</v>
      </c>
      <c r="Z26" s="19" t="s">
        <v>91</v>
      </c>
    </row>
    <row r="27" spans="1:26" x14ac:dyDescent="0.35">
      <c r="A27" s="10" t="s">
        <v>92</v>
      </c>
      <c r="B27" s="11" t="s">
        <v>93</v>
      </c>
      <c r="C27" s="12" t="s">
        <v>79</v>
      </c>
      <c r="D27" s="12"/>
      <c r="E27" s="12"/>
      <c r="F27" s="12"/>
      <c r="G27" s="12" t="s">
        <v>43</v>
      </c>
      <c r="H27" s="13" t="s">
        <v>46</v>
      </c>
      <c r="I27" s="14">
        <v>4</v>
      </c>
      <c r="J27" s="14">
        <v>5</v>
      </c>
      <c r="K27" s="14">
        <v>7</v>
      </c>
      <c r="L27" s="15">
        <f t="shared" si="0"/>
        <v>5.166666666666667</v>
      </c>
      <c r="M27" s="15">
        <f t="shared" si="1"/>
        <v>0.5</v>
      </c>
      <c r="N27" s="15">
        <f>IF($H$3&lt;25,"",MAX(0,IF(C27="",0,INDEX($O$6:$O26,MATCH(C27,$A$6:$A26,0))),IF(D27="",0,INDEX($O$6:$O26,MATCH(D27,$A$6:$A26,0))),IF(E27="",0,INDEX($O$6:$O26,MATCH(E27,$A$6:$A26,0))),IF(F27="",0,INDEX($O$6:$O26,MATCH(F27,$A$6:$A26,0)))))</f>
        <v>34</v>
      </c>
      <c r="O27" s="15">
        <f t="shared" si="2"/>
        <v>39.166666666666664</v>
      </c>
      <c r="P27" s="15">
        <f t="shared" si="3"/>
        <v>34.166666666666664</v>
      </c>
      <c r="Q27" s="15">
        <f>IF($H$3&lt;25,"",MIN($O$33,IF(COUNTIF(C28:C$30,A27)=0,1000000000,_xlfn.MINIFS($P28:$P$30,C28:C$30,A27)),IF(COUNTIF(D28:D$30,A27)=0,1000000000,_xlfn.MINIFS($P28:$P$30,D28:D$30,A27)),IF(COUNTIF(E28:E$30,A27)=0,1000000000,_xlfn.MINIFS($P28:$P$30,E28:E$30,A27)),IF(COUNTIF(F28:F$30,A27)=0,1000000000,_xlfn.MINIFS($P28:$P$30,F28:F$30,A27))))</f>
        <v>39.333333333333329</v>
      </c>
      <c r="R27" s="15">
        <f t="shared" si="4"/>
        <v>0.16669999999999999</v>
      </c>
      <c r="S27" s="16" t="str">
        <f t="shared" si="5"/>
        <v>No</v>
      </c>
      <c r="T27" s="17">
        <f>IF(N27="","",WORKDAY(Calendario!$B$3-1,ROUNDDOWN(N27,0)+1,Calendario!$B$8:$B$10))</f>
        <v>46343</v>
      </c>
      <c r="U27" s="17">
        <f>IF(O27="","",WORKDAY(Calendario!$B$3-1,MAX(1,ROUNDUP(O27,0)),Calendario!$B$8:$B$10))</f>
        <v>46350</v>
      </c>
      <c r="V27" s="16">
        <f>IF(T27="","",INT((T27-Calendario!$B$4)/7)+1)</f>
        <v>11</v>
      </c>
      <c r="W27" s="16">
        <f>IF(U27="","",INT((U27-Calendario!$B$4)/7)+1)</f>
        <v>12</v>
      </c>
      <c r="X27" s="10" t="str">
        <f t="shared" si="6"/>
        <v>OK</v>
      </c>
      <c r="Y27" s="18" t="str">
        <f t="shared" si="7"/>
        <v>ACT-01 → ACT-05 → ACT-06 → ACT-07 → ACT-11 → ACT-12 → ACT-15 → ACT-16 → ACT-19 → ACT-20 → ACT-21</v>
      </c>
      <c r="Z27" s="19" t="s">
        <v>94</v>
      </c>
    </row>
    <row r="28" spans="1:26" x14ac:dyDescent="0.35">
      <c r="A28" s="10" t="s">
        <v>85</v>
      </c>
      <c r="B28" s="11" t="s">
        <v>95</v>
      </c>
      <c r="C28" s="12" t="s">
        <v>74</v>
      </c>
      <c r="D28" s="12" t="s">
        <v>92</v>
      </c>
      <c r="E28" s="12"/>
      <c r="F28" s="12"/>
      <c r="G28" s="12" t="s">
        <v>43</v>
      </c>
      <c r="H28" s="13" t="s">
        <v>43</v>
      </c>
      <c r="I28" s="14">
        <v>3</v>
      </c>
      <c r="J28" s="14">
        <v>4</v>
      </c>
      <c r="K28" s="14">
        <v>6</v>
      </c>
      <c r="L28" s="15">
        <f t="shared" si="0"/>
        <v>4.166666666666667</v>
      </c>
      <c r="M28" s="15">
        <f t="shared" si="1"/>
        <v>0.5</v>
      </c>
      <c r="N28" s="15">
        <f>IF($H$3&lt;25,"",MAX(0,IF(C28="",0,INDEX($O$6:$O27,MATCH(C28,$A$6:$A27,0))),IF(D28="",0,INDEX($O$6:$O27,MATCH(D28,$A$6:$A27,0))),IF(E28="",0,INDEX($O$6:$O27,MATCH(E28,$A$6:$A27,0))),IF(F28="",0,INDEX($O$6:$O27,MATCH(F28,$A$6:$A27,0)))))</f>
        <v>39.333333333333329</v>
      </c>
      <c r="O28" s="15">
        <f t="shared" si="2"/>
        <v>43.499999999999993</v>
      </c>
      <c r="P28" s="15">
        <f t="shared" si="3"/>
        <v>39.333333333333329</v>
      </c>
      <c r="Q28" s="15">
        <f>IF($H$3&lt;25,"",MIN($O$33,IF(COUNTIF(C29:C$30,A28)=0,1000000000,_xlfn.MINIFS($P29:$P$30,C29:C$30,A28)),IF(COUNTIF(D29:D$30,A28)=0,1000000000,_xlfn.MINIFS($P29:$P$30,D29:D$30,A28)),IF(COUNTIF(E29:E$30,A28)=0,1000000000,_xlfn.MINIFS($P29:$P$30,E29:E$30,A28)),IF(COUNTIF(F29:F$30,A28)=0,1000000000,_xlfn.MINIFS($P29:$P$30,F29:F$30,A28))))</f>
        <v>43.499999999999993</v>
      </c>
      <c r="R28" s="15">
        <f t="shared" si="4"/>
        <v>0</v>
      </c>
      <c r="S28" s="16" t="str">
        <f t="shared" si="5"/>
        <v>Sí</v>
      </c>
      <c r="T28" s="17">
        <f>IF(N28="","",WORKDAY(Calendario!$B$3-1,ROUNDDOWN(N28,0)+1,Calendario!$B$8:$B$10))</f>
        <v>46350</v>
      </c>
      <c r="U28" s="17">
        <f>IF(O28="","",WORKDAY(Calendario!$B$3-1,MAX(1,ROUNDUP(O28,0)),Calendario!$B$8:$B$10))</f>
        <v>46356</v>
      </c>
      <c r="V28" s="16">
        <f>IF(T28="","",INT((T28-Calendario!$B$4)/7)+1)</f>
        <v>12</v>
      </c>
      <c r="W28" s="16">
        <f>IF(U28="","",INT((U28-Calendario!$B$4)/7)+1)</f>
        <v>13</v>
      </c>
      <c r="X28" s="10" t="str">
        <f t="shared" si="6"/>
        <v>OK</v>
      </c>
      <c r="Y28" s="18" t="str">
        <f t="shared" si="7"/>
        <v>ACT-01 → ACT-05 → ACT-06 → ACT-07 → ACT-11 → ACT-12 → ACT-15 → ACT-16 → ACT-19 → ACT-20 → ACT-21 → ACT-23</v>
      </c>
      <c r="Z28" s="19" t="s">
        <v>96</v>
      </c>
    </row>
    <row r="29" spans="1:26" x14ac:dyDescent="0.35">
      <c r="A29" s="10" t="s">
        <v>87</v>
      </c>
      <c r="B29" s="11" t="s">
        <v>97</v>
      </c>
      <c r="C29" s="12" t="s">
        <v>85</v>
      </c>
      <c r="D29" s="12"/>
      <c r="E29" s="12"/>
      <c r="F29" s="12"/>
      <c r="G29" s="12" t="s">
        <v>47</v>
      </c>
      <c r="H29" s="13" t="s">
        <v>50</v>
      </c>
      <c r="I29" s="14">
        <v>2</v>
      </c>
      <c r="J29" s="14">
        <v>3</v>
      </c>
      <c r="K29" s="14">
        <v>5</v>
      </c>
      <c r="L29" s="15">
        <f t="shared" si="0"/>
        <v>3.1666666666666665</v>
      </c>
      <c r="M29" s="15">
        <f t="shared" si="1"/>
        <v>0.5</v>
      </c>
      <c r="N29" s="15">
        <f>IF($H$3&lt;25,"",MAX(0,IF(C29="",0,INDEX($O$6:$O28,MATCH(C29,$A$6:$A28,0))),IF(D29="",0,INDEX($O$6:$O28,MATCH(D29,$A$6:$A28,0))),IF(E29="",0,INDEX($O$6:$O28,MATCH(E29,$A$6:$A28,0))),IF(F29="",0,INDEX($O$6:$O28,MATCH(F29,$A$6:$A28,0)))))</f>
        <v>43.499999999999993</v>
      </c>
      <c r="O29" s="15">
        <f t="shared" si="2"/>
        <v>46.666666666666657</v>
      </c>
      <c r="P29" s="15">
        <f t="shared" si="3"/>
        <v>43.499999999999993</v>
      </c>
      <c r="Q29" s="15">
        <f>IF($H$3&lt;25,"",MIN($O$33,IF(COUNTIF(C30:C$30,A29)=0,1000000000,_xlfn.MINIFS($P30:$P$30,C30:C$30,A29)),IF(COUNTIF(D30:D$30,A29)=0,1000000000,_xlfn.MINIFS($P30:$P$30,D30:D$30,A29)),IF(COUNTIF(E30:E$30,A29)=0,1000000000,_xlfn.MINIFS($P30:$P$30,E30:E$30,A29)),IF(COUNTIF(F30:F$30,A29)=0,1000000000,_xlfn.MINIFS($P30:$P$30,F30:F$30,A29))))</f>
        <v>46.666666666666657</v>
      </c>
      <c r="R29" s="15">
        <f t="shared" si="4"/>
        <v>0</v>
      </c>
      <c r="S29" s="16" t="str">
        <f t="shared" si="5"/>
        <v>Sí</v>
      </c>
      <c r="T29" s="17">
        <f>IF(N29="","",WORKDAY(Calendario!$B$3-1,ROUNDDOWN(N29,0)+1,Calendario!$B$8:$B$10))</f>
        <v>46356</v>
      </c>
      <c r="U29" s="17">
        <f>IF(O29="","",WORKDAY(Calendario!$B$3-1,MAX(1,ROUNDUP(O29,0)),Calendario!$B$8:$B$10))</f>
        <v>46359</v>
      </c>
      <c r="V29" s="16">
        <f>IF(T29="","",INT((T29-Calendario!$B$4)/7)+1)</f>
        <v>13</v>
      </c>
      <c r="W29" s="16">
        <f>IF(U29="","",INT((U29-Calendario!$B$4)/7)+1)</f>
        <v>13</v>
      </c>
      <c r="X29" s="10" t="str">
        <f t="shared" si="6"/>
        <v>OK</v>
      </c>
      <c r="Y29" s="18" t="str">
        <f t="shared" si="7"/>
        <v>ACT-01 → ACT-05 → ACT-06 → ACT-07 → ACT-11 → ACT-12 → ACT-15 → ACT-16 → ACT-19 → ACT-20 → ACT-21 → ACT-23 → ACT-24</v>
      </c>
      <c r="Z29" s="19" t="s">
        <v>98</v>
      </c>
    </row>
    <row r="30" spans="1:26" x14ac:dyDescent="0.35">
      <c r="A30" s="10" t="s">
        <v>89</v>
      </c>
      <c r="B30" s="11" t="s">
        <v>99</v>
      </c>
      <c r="C30" s="12" t="s">
        <v>87</v>
      </c>
      <c r="D30" s="12"/>
      <c r="E30" s="12"/>
      <c r="F30" s="12"/>
      <c r="G30" s="12" t="s">
        <v>43</v>
      </c>
      <c r="H30" s="13" t="s">
        <v>43</v>
      </c>
      <c r="I30" s="14">
        <v>2</v>
      </c>
      <c r="J30" s="14">
        <v>3</v>
      </c>
      <c r="K30" s="14">
        <v>5</v>
      </c>
      <c r="L30" s="15">
        <f t="shared" si="0"/>
        <v>3.1666666666666665</v>
      </c>
      <c r="M30" s="15">
        <f t="shared" si="1"/>
        <v>0.5</v>
      </c>
      <c r="N30" s="15">
        <f>IF($H$3&lt;25,"",MAX(0,IF(C30="",0,INDEX($O$6:$O29,MATCH(C30,$A$6:$A29,0))),IF(D30="",0,INDEX($O$6:$O29,MATCH(D30,$A$6:$A29,0))),IF(E30="",0,INDEX($O$6:$O29,MATCH(E30,$A$6:$A29,0))),IF(F30="",0,INDEX($O$6:$O29,MATCH(F30,$A$6:$A29,0)))))</f>
        <v>46.666666666666657</v>
      </c>
      <c r="O30" s="15">
        <f t="shared" si="2"/>
        <v>49.833333333333321</v>
      </c>
      <c r="P30" s="15">
        <f t="shared" si="3"/>
        <v>46.666666666666657</v>
      </c>
      <c r="Q30" s="15">
        <f>IF($H$3&lt;25,"",$O$33)</f>
        <v>49.833333333333321</v>
      </c>
      <c r="R30" s="15">
        <f t="shared" si="4"/>
        <v>0</v>
      </c>
      <c r="S30" s="16" t="str">
        <f t="shared" si="5"/>
        <v>Sí</v>
      </c>
      <c r="T30" s="17">
        <f>IF(N30="","",WORKDAY(Calendario!$B$3-1,ROUNDDOWN(N30,0)+1,Calendario!$B$8:$B$10))</f>
        <v>46359</v>
      </c>
      <c r="U30" s="17">
        <f>IF(O30="","",WORKDAY(Calendario!$B$3-1,MAX(1,ROUNDUP(O30,0)),Calendario!$B$8:$B$10))</f>
        <v>46364</v>
      </c>
      <c r="V30" s="16">
        <f>IF(T30="","",INT((T30-Calendario!$B$4)/7)+1)</f>
        <v>13</v>
      </c>
      <c r="W30" s="16">
        <f>IF(U30="","",INT((U30-Calendario!$B$4)/7)+1)</f>
        <v>14</v>
      </c>
      <c r="X30" s="10" t="str">
        <f t="shared" si="6"/>
        <v>OK</v>
      </c>
      <c r="Y30" s="18" t="str">
        <f t="shared" si="7"/>
        <v>ACT-01 → ACT-05 → ACT-06 → ACT-07 → ACT-11 → ACT-12 → ACT-15 → ACT-16 → ACT-19 → ACT-20 → ACT-21 → ACT-23 → ACT-24 → ACT-25</v>
      </c>
      <c r="Z30" s="19" t="s">
        <v>100</v>
      </c>
    </row>
    <row r="32" spans="1:26" x14ac:dyDescent="0.35">
      <c r="B32" s="5" t="s">
        <v>101</v>
      </c>
      <c r="L32" s="20">
        <f>IF(H3&lt;25,"",SUM(L6:L30))</f>
        <v>101.6666666666667</v>
      </c>
    </row>
    <row r="33" spans="1:15" x14ac:dyDescent="0.35">
      <c r="B33" s="5" t="s">
        <v>102</v>
      </c>
      <c r="O33" s="20">
        <f>IF(H3&lt;25,"",MAX(O6:O30))</f>
        <v>49.833333333333321</v>
      </c>
    </row>
    <row r="34" spans="1:15" x14ac:dyDescent="0.35">
      <c r="B34" s="5" t="s">
        <v>103</v>
      </c>
      <c r="C34" s="5" t="str">
        <f>IF(H3&lt;25,"",Y30)</f>
        <v>ACT-01 → ACT-05 → ACT-06 → ACT-07 → ACT-11 → ACT-12 → ACT-15 → ACT-16 → ACT-19 → ACT-20 → ACT-21 → ACT-23 → ACT-24 → ACT-25</v>
      </c>
    </row>
    <row r="35" spans="1:15" x14ac:dyDescent="0.35">
      <c r="B35" s="5" t="s">
        <v>104</v>
      </c>
      <c r="L35" s="20">
        <f>IF(H3&lt;25,"",SQRT(SUMPRODUCT((S6:S30="Sí")*(M6:M30)^2)))</f>
        <v>2.2546248764114472</v>
      </c>
    </row>
    <row r="36" spans="1:15" x14ac:dyDescent="0.35">
      <c r="B36" s="5" t="s">
        <v>105</v>
      </c>
      <c r="C36" s="5" t="str">
        <f>IF(H3&lt;25,"",IF(MAX(U6:U30)&lt;=Calendario!B6,"Sí — termina el "&amp;TEXT(MAX(U6:U30),"dd/mm/yyyy")&amp;" (límite "&amp;TEXT(Calendario!B6,"dd/mm/yyyy")&amp;")","NO — se pasa; termina el "&amp;TEXT(MAX(U6:U30),"dd/mm/yyyy")))</f>
        <v>Sí — termina el 08/12/yyyy (límite 18/12/yyyy)</v>
      </c>
    </row>
    <row r="38" spans="1:15" x14ac:dyDescent="0.35">
      <c r="A38" s="5" t="s">
        <v>106</v>
      </c>
    </row>
    <row r="39" spans="1:15" x14ac:dyDescent="0.35">
      <c r="A39" s="6" t="s">
        <v>107</v>
      </c>
    </row>
    <row r="40" spans="1:15" x14ac:dyDescent="0.35">
      <c r="A40" s="6" t="s">
        <v>108</v>
      </c>
    </row>
    <row r="41" spans="1:15" x14ac:dyDescent="0.35">
      <c r="A41" s="6" t="s">
        <v>109</v>
      </c>
    </row>
    <row r="42" spans="1:15" x14ac:dyDescent="0.35">
      <c r="A42" s="6" t="s">
        <v>110</v>
      </c>
    </row>
    <row r="43" spans="1:15" x14ac:dyDescent="0.35">
      <c r="A43" s="6" t="s">
        <v>111</v>
      </c>
    </row>
  </sheetData>
  <conditionalFormatting sqref="A6:X30">
    <cfRule type="expression" dxfId="6" priority="3">
      <formula>$S6="Sí"</formula>
    </cfRule>
  </conditionalFormatting>
  <conditionalFormatting sqref="H6:K30">
    <cfRule type="expression" dxfId="5" priority="2">
      <formula>LEFT($H6,6)="Claude"</formula>
    </cfRule>
  </conditionalFormatting>
  <conditionalFormatting sqref="X6:X30">
    <cfRule type="expression" dxfId="4" priority="4">
      <formula>LEFT($X6,7)="Revisar"</formula>
    </cfRule>
  </conditionalFormatting>
  <dataValidations count="1">
    <dataValidation type="decimal" operator="greaterThanOrEqual" allowBlank="1" showErrorMessage="1" error="Escribe días (número ≥ 0)." sqref="I6:K30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C37"/>
  <sheetViews>
    <sheetView tabSelected="1" zoomScaleNormal="100" workbookViewId="0">
      <pane xSplit="6" ySplit="5" topLeftCell="G27" activePane="bottomRight" state="frozen"/>
      <selection pane="topRight" activeCell="G1" sqref="G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8" customWidth="1"/>
    <col min="2" max="2" width="54" customWidth="1"/>
    <col min="3" max="3" width="12" customWidth="1"/>
    <col min="4" max="5" width="10" customWidth="1"/>
    <col min="6" max="6" width="9" customWidth="1"/>
    <col min="7" max="81" width="2.90625" customWidth="1"/>
  </cols>
  <sheetData>
    <row r="1" spans="1:81" ht="16.5" x14ac:dyDescent="0.35">
      <c r="A1" s="3" t="s">
        <v>112</v>
      </c>
    </row>
    <row r="2" spans="1:81" x14ac:dyDescent="0.35">
      <c r="A2" s="4" t="s">
        <v>113</v>
      </c>
    </row>
    <row r="4" spans="1:81" x14ac:dyDescent="0.35">
      <c r="A4" s="21"/>
      <c r="B4" s="21"/>
      <c r="C4" s="21"/>
      <c r="D4" s="21"/>
      <c r="E4" s="21"/>
      <c r="F4" s="21"/>
      <c r="G4" s="22" t="str">
        <f>IF(TRUE(),"S"&amp;(INT((G5-Calendario!$B$4)/7)+1),"")</f>
        <v>S1</v>
      </c>
      <c r="H4" s="22" t="str">
        <f>IF(WEEKDAY(H5,2)&lt;WEEKDAY(G5,2),"S"&amp;(INT((H5-Calendario!$B$4)/7)+1),"")</f>
        <v/>
      </c>
      <c r="I4" s="22" t="str">
        <f>IF(WEEKDAY(I5,2)&lt;WEEKDAY(H5,2),"S"&amp;(INT((I5-Calendario!$B$4)/7)+1),"")</f>
        <v/>
      </c>
      <c r="J4" s="22" t="str">
        <f>IF(WEEKDAY(J5,2)&lt;WEEKDAY(I5,2),"S"&amp;(INT((J5-Calendario!$B$4)/7)+1),"")</f>
        <v/>
      </c>
      <c r="K4" s="22" t="str">
        <f>IF(WEEKDAY(K5,2)&lt;WEEKDAY(J5,2),"S"&amp;(INT((K5-Calendario!$B$4)/7)+1),"")</f>
        <v/>
      </c>
      <c r="L4" s="22" t="str">
        <f>IF(WEEKDAY(L5,2)&lt;WEEKDAY(K5,2),"S"&amp;(INT((L5-Calendario!$B$4)/7)+1),"")</f>
        <v>S2</v>
      </c>
      <c r="M4" s="22" t="str">
        <f>IF(WEEKDAY(M5,2)&lt;WEEKDAY(L5,2),"S"&amp;(INT((M5-Calendario!$B$4)/7)+1),"")</f>
        <v/>
      </c>
      <c r="N4" s="22" t="str">
        <f>IF(WEEKDAY(N5,2)&lt;WEEKDAY(M5,2),"S"&amp;(INT((N5-Calendario!$B$4)/7)+1),"")</f>
        <v/>
      </c>
      <c r="O4" s="22" t="str">
        <f>IF(WEEKDAY(O5,2)&lt;WEEKDAY(N5,2),"S"&amp;(INT((O5-Calendario!$B$4)/7)+1),"")</f>
        <v/>
      </c>
      <c r="P4" s="22" t="str">
        <f>IF(WEEKDAY(P5,2)&lt;WEEKDAY(O5,2),"S"&amp;(INT((P5-Calendario!$B$4)/7)+1),"")</f>
        <v/>
      </c>
      <c r="Q4" s="22" t="str">
        <f>IF(WEEKDAY(Q5,2)&lt;WEEKDAY(P5,2),"S"&amp;(INT((Q5-Calendario!$B$4)/7)+1),"")</f>
        <v>S3</v>
      </c>
      <c r="R4" s="22" t="str">
        <f>IF(WEEKDAY(R5,2)&lt;WEEKDAY(Q5,2),"S"&amp;(INT((R5-Calendario!$B$4)/7)+1),"")</f>
        <v/>
      </c>
      <c r="S4" s="22" t="str">
        <f>IF(WEEKDAY(S5,2)&lt;WEEKDAY(R5,2),"S"&amp;(INT((S5-Calendario!$B$4)/7)+1),"")</f>
        <v/>
      </c>
      <c r="T4" s="22" t="str">
        <f>IF(WEEKDAY(T5,2)&lt;WEEKDAY(S5,2),"S"&amp;(INT((T5-Calendario!$B$4)/7)+1),"")</f>
        <v/>
      </c>
      <c r="U4" s="22" t="str">
        <f>IF(WEEKDAY(U5,2)&lt;WEEKDAY(T5,2),"S"&amp;(INT((U5-Calendario!$B$4)/7)+1),"")</f>
        <v/>
      </c>
      <c r="V4" s="22" t="str">
        <f>IF(WEEKDAY(V5,2)&lt;WEEKDAY(U5,2),"S"&amp;(INT((V5-Calendario!$B$4)/7)+1),"")</f>
        <v>S4</v>
      </c>
      <c r="W4" s="22" t="str">
        <f>IF(WEEKDAY(W5,2)&lt;WEEKDAY(V5,2),"S"&amp;(INT((W5-Calendario!$B$4)/7)+1),"")</f>
        <v/>
      </c>
      <c r="X4" s="22" t="str">
        <f>IF(WEEKDAY(X5,2)&lt;WEEKDAY(W5,2),"S"&amp;(INT((X5-Calendario!$B$4)/7)+1),"")</f>
        <v/>
      </c>
      <c r="Y4" s="22" t="str">
        <f>IF(WEEKDAY(Y5,2)&lt;WEEKDAY(X5,2),"S"&amp;(INT((Y5-Calendario!$B$4)/7)+1),"")</f>
        <v/>
      </c>
      <c r="Z4" s="22" t="str">
        <f>IF(WEEKDAY(Z5,2)&lt;WEEKDAY(Y5,2),"S"&amp;(INT((Z5-Calendario!$B$4)/7)+1),"")</f>
        <v/>
      </c>
      <c r="AA4" s="22" t="str">
        <f>IF(WEEKDAY(AA5,2)&lt;WEEKDAY(Z5,2),"S"&amp;(INT((AA5-Calendario!$B$4)/7)+1),"")</f>
        <v>S5</v>
      </c>
      <c r="AB4" s="22" t="str">
        <f>IF(WEEKDAY(AB5,2)&lt;WEEKDAY(AA5,2),"S"&amp;(INT((AB5-Calendario!$B$4)/7)+1),"")</f>
        <v/>
      </c>
      <c r="AC4" s="22" t="str">
        <f>IF(WEEKDAY(AC5,2)&lt;WEEKDAY(AB5,2),"S"&amp;(INT((AC5-Calendario!$B$4)/7)+1),"")</f>
        <v/>
      </c>
      <c r="AD4" s="22" t="str">
        <f>IF(WEEKDAY(AD5,2)&lt;WEEKDAY(AC5,2),"S"&amp;(INT((AD5-Calendario!$B$4)/7)+1),"")</f>
        <v/>
      </c>
      <c r="AE4" s="22" t="str">
        <f>IF(WEEKDAY(AE5,2)&lt;WEEKDAY(AD5,2),"S"&amp;(INT((AE5-Calendario!$B$4)/7)+1),"")</f>
        <v/>
      </c>
      <c r="AF4" s="22" t="str">
        <f>IF(WEEKDAY(AF5,2)&lt;WEEKDAY(AE5,2),"S"&amp;(INT((AF5-Calendario!$B$4)/7)+1),"")</f>
        <v>S6</v>
      </c>
      <c r="AG4" s="22" t="str">
        <f>IF(WEEKDAY(AG5,2)&lt;WEEKDAY(AF5,2),"S"&amp;(INT((AG5-Calendario!$B$4)/7)+1),"")</f>
        <v/>
      </c>
      <c r="AH4" s="22" t="str">
        <f>IF(WEEKDAY(AH5,2)&lt;WEEKDAY(AG5,2),"S"&amp;(INT((AH5-Calendario!$B$4)/7)+1),"")</f>
        <v/>
      </c>
      <c r="AI4" s="22" t="str">
        <f>IF(WEEKDAY(AI5,2)&lt;WEEKDAY(AH5,2),"S"&amp;(INT((AI5-Calendario!$B$4)/7)+1),"")</f>
        <v/>
      </c>
      <c r="AJ4" s="22" t="str">
        <f>IF(WEEKDAY(AJ5,2)&lt;WEEKDAY(AI5,2),"S"&amp;(INT((AJ5-Calendario!$B$4)/7)+1),"")</f>
        <v/>
      </c>
      <c r="AK4" s="22" t="str">
        <f>IF(WEEKDAY(AK5,2)&lt;WEEKDAY(AJ5,2),"S"&amp;(INT((AK5-Calendario!$B$4)/7)+1),"")</f>
        <v>S7</v>
      </c>
      <c r="AL4" s="22" t="str">
        <f>IF(WEEKDAY(AL5,2)&lt;WEEKDAY(AK5,2),"S"&amp;(INT((AL5-Calendario!$B$4)/7)+1),"")</f>
        <v/>
      </c>
      <c r="AM4" s="22" t="str">
        <f>IF(WEEKDAY(AM5,2)&lt;WEEKDAY(AL5,2),"S"&amp;(INT((AM5-Calendario!$B$4)/7)+1),"")</f>
        <v/>
      </c>
      <c r="AN4" s="22" t="str">
        <f>IF(WEEKDAY(AN5,2)&lt;WEEKDAY(AM5,2),"S"&amp;(INT((AN5-Calendario!$B$4)/7)+1),"")</f>
        <v/>
      </c>
      <c r="AO4" s="22" t="str">
        <f>IF(WEEKDAY(AO5,2)&lt;WEEKDAY(AN5,2),"S"&amp;(INT((AO5-Calendario!$B$4)/7)+1),"")</f>
        <v/>
      </c>
      <c r="AP4" s="22" t="str">
        <f>IF(WEEKDAY(AP5,2)&lt;WEEKDAY(AO5,2),"S"&amp;(INT((AP5-Calendario!$B$4)/7)+1),"")</f>
        <v>S8</v>
      </c>
      <c r="AQ4" s="22" t="str">
        <f>IF(WEEKDAY(AQ5,2)&lt;WEEKDAY(AP5,2),"S"&amp;(INT((AQ5-Calendario!$B$4)/7)+1),"")</f>
        <v/>
      </c>
      <c r="AR4" s="22" t="str">
        <f>IF(WEEKDAY(AR5,2)&lt;WEEKDAY(AQ5,2),"S"&amp;(INT((AR5-Calendario!$B$4)/7)+1),"")</f>
        <v/>
      </c>
      <c r="AS4" s="22" t="str">
        <f>IF(WEEKDAY(AS5,2)&lt;WEEKDAY(AR5,2),"S"&amp;(INT((AS5-Calendario!$B$4)/7)+1),"")</f>
        <v/>
      </c>
      <c r="AT4" s="22" t="str">
        <f>IF(WEEKDAY(AT5,2)&lt;WEEKDAY(AS5,2),"S"&amp;(INT((AT5-Calendario!$B$4)/7)+1),"")</f>
        <v/>
      </c>
      <c r="AU4" s="22" t="str">
        <f>IF(WEEKDAY(AU5,2)&lt;WEEKDAY(AT5,2),"S"&amp;(INT((AU5-Calendario!$B$4)/7)+1),"")</f>
        <v>S9</v>
      </c>
      <c r="AV4" s="22" t="str">
        <f>IF(WEEKDAY(AV5,2)&lt;WEEKDAY(AU5,2),"S"&amp;(INT((AV5-Calendario!$B$4)/7)+1),"")</f>
        <v/>
      </c>
      <c r="AW4" s="22" t="str">
        <f>IF(WEEKDAY(AW5,2)&lt;WEEKDAY(AV5,2),"S"&amp;(INT((AW5-Calendario!$B$4)/7)+1),"")</f>
        <v/>
      </c>
      <c r="AX4" s="22" t="str">
        <f>IF(WEEKDAY(AX5,2)&lt;WEEKDAY(AW5,2),"S"&amp;(INT((AX5-Calendario!$B$4)/7)+1),"")</f>
        <v/>
      </c>
      <c r="AY4" s="22" t="str">
        <f>IF(WEEKDAY(AY5,2)&lt;WEEKDAY(AX5,2),"S"&amp;(INT((AY5-Calendario!$B$4)/7)+1),"")</f>
        <v/>
      </c>
      <c r="AZ4" s="22" t="str">
        <f>IF(WEEKDAY(AZ5,2)&lt;WEEKDAY(AY5,2),"S"&amp;(INT((AZ5-Calendario!$B$4)/7)+1),"")</f>
        <v>S10</v>
      </c>
      <c r="BA4" s="22" t="str">
        <f>IF(WEEKDAY(BA5,2)&lt;WEEKDAY(AZ5,2),"S"&amp;(INT((BA5-Calendario!$B$4)/7)+1),"")</f>
        <v/>
      </c>
      <c r="BB4" s="22" t="str">
        <f>IF(WEEKDAY(BB5,2)&lt;WEEKDAY(BA5,2),"S"&amp;(INT((BB5-Calendario!$B$4)/7)+1),"")</f>
        <v/>
      </c>
      <c r="BC4" s="22" t="str">
        <f>IF(WEEKDAY(BC5,2)&lt;WEEKDAY(BB5,2),"S"&amp;(INT((BC5-Calendario!$B$4)/7)+1),"")</f>
        <v/>
      </c>
      <c r="BD4" s="22" t="str">
        <f>IF(WEEKDAY(BD5,2)&lt;WEEKDAY(BC5,2),"S"&amp;(INT((BD5-Calendario!$B$4)/7)+1),"")</f>
        <v/>
      </c>
      <c r="BE4" s="22" t="str">
        <f>IF(WEEKDAY(BE5,2)&lt;WEEKDAY(BD5,2),"S"&amp;(INT((BE5-Calendario!$B$4)/7)+1),"")</f>
        <v>S11</v>
      </c>
      <c r="BF4" s="22" t="str">
        <f>IF(WEEKDAY(BF5,2)&lt;WEEKDAY(BE5,2),"S"&amp;(INT((BF5-Calendario!$B$4)/7)+1),"")</f>
        <v/>
      </c>
      <c r="BG4" s="22" t="str">
        <f>IF(WEEKDAY(BG5,2)&lt;WEEKDAY(BF5,2),"S"&amp;(INT((BG5-Calendario!$B$4)/7)+1),"")</f>
        <v/>
      </c>
      <c r="BH4" s="22" t="str">
        <f>IF(WEEKDAY(BH5,2)&lt;WEEKDAY(BG5,2),"S"&amp;(INT((BH5-Calendario!$B$4)/7)+1),"")</f>
        <v/>
      </c>
      <c r="BI4" s="22" t="str">
        <f>IF(WEEKDAY(BI5,2)&lt;WEEKDAY(BH5,2),"S"&amp;(INT((BI5-Calendario!$B$4)/7)+1),"")</f>
        <v/>
      </c>
      <c r="BJ4" s="22" t="str">
        <f>IF(WEEKDAY(BJ5,2)&lt;WEEKDAY(BI5,2),"S"&amp;(INT((BJ5-Calendario!$B$4)/7)+1),"")</f>
        <v>S12</v>
      </c>
      <c r="BK4" s="22" t="str">
        <f>IF(WEEKDAY(BK5,2)&lt;WEEKDAY(BJ5,2),"S"&amp;(INT((BK5-Calendario!$B$4)/7)+1),"")</f>
        <v/>
      </c>
      <c r="BL4" s="22" t="str">
        <f>IF(WEEKDAY(BL5,2)&lt;WEEKDAY(BK5,2),"S"&amp;(INT((BL5-Calendario!$B$4)/7)+1),"")</f>
        <v/>
      </c>
      <c r="BM4" s="22" t="str">
        <f>IF(WEEKDAY(BM5,2)&lt;WEEKDAY(BL5,2),"S"&amp;(INT((BM5-Calendario!$B$4)/7)+1),"")</f>
        <v/>
      </c>
      <c r="BN4" s="22" t="str">
        <f>IF(WEEKDAY(BN5,2)&lt;WEEKDAY(BM5,2),"S"&amp;(INT((BN5-Calendario!$B$4)/7)+1),"")</f>
        <v/>
      </c>
      <c r="BO4" s="22" t="str">
        <f>IF(WEEKDAY(BO5,2)&lt;WEEKDAY(BN5,2),"S"&amp;(INT((BO5-Calendario!$B$4)/7)+1),"")</f>
        <v>S13</v>
      </c>
      <c r="BP4" s="22" t="str">
        <f>IF(WEEKDAY(BP5,2)&lt;WEEKDAY(BO5,2),"S"&amp;(INT((BP5-Calendario!$B$4)/7)+1),"")</f>
        <v/>
      </c>
      <c r="BQ4" s="22" t="str">
        <f>IF(WEEKDAY(BQ5,2)&lt;WEEKDAY(BP5,2),"S"&amp;(INT((BQ5-Calendario!$B$4)/7)+1),"")</f>
        <v/>
      </c>
      <c r="BR4" s="22" t="str">
        <f>IF(WEEKDAY(BR5,2)&lt;WEEKDAY(BQ5,2),"S"&amp;(INT((BR5-Calendario!$B$4)/7)+1),"")</f>
        <v/>
      </c>
      <c r="BS4" s="22" t="str">
        <f>IF(WEEKDAY(BS5,2)&lt;WEEKDAY(BR5,2),"S"&amp;(INT((BS5-Calendario!$B$4)/7)+1),"")</f>
        <v/>
      </c>
      <c r="BT4" s="22" t="str">
        <f>IF(WEEKDAY(BT5,2)&lt;WEEKDAY(BS5,2),"S"&amp;(INT((BT5-Calendario!$B$4)/7)+1),"")</f>
        <v>S14</v>
      </c>
      <c r="BU4" s="22" t="str">
        <f>IF(WEEKDAY(BU5,2)&lt;WEEKDAY(BT5,2),"S"&amp;(INT((BU5-Calendario!$B$4)/7)+1),"")</f>
        <v/>
      </c>
      <c r="BV4" s="22" t="str">
        <f>IF(WEEKDAY(BV5,2)&lt;WEEKDAY(BU5,2),"S"&amp;(INT((BV5-Calendario!$B$4)/7)+1),"")</f>
        <v/>
      </c>
      <c r="BW4" s="22" t="str">
        <f>IF(WEEKDAY(BW5,2)&lt;WEEKDAY(BV5,2),"S"&amp;(INT((BW5-Calendario!$B$4)/7)+1),"")</f>
        <v/>
      </c>
      <c r="BX4" s="22" t="str">
        <f>IF(WEEKDAY(BX5,2)&lt;WEEKDAY(BW5,2),"S"&amp;(INT((BX5-Calendario!$B$4)/7)+1),"")</f>
        <v/>
      </c>
      <c r="BY4" s="22" t="str">
        <f>IF(WEEKDAY(BY5,2)&lt;WEEKDAY(BX5,2),"S"&amp;(INT((BY5-Calendario!$B$4)/7)+1),"")</f>
        <v>S15</v>
      </c>
      <c r="BZ4" s="22" t="str">
        <f>IF(WEEKDAY(BZ5,2)&lt;WEEKDAY(BY5,2),"S"&amp;(INT((BZ5-Calendario!$B$4)/7)+1),"")</f>
        <v/>
      </c>
      <c r="CA4" s="22" t="str">
        <f>IF(WEEKDAY(CA5,2)&lt;WEEKDAY(BZ5,2),"S"&amp;(INT((CA5-Calendario!$B$4)/7)+1),"")</f>
        <v/>
      </c>
      <c r="CB4" s="22" t="str">
        <f>IF(WEEKDAY(CB5,2)&lt;WEEKDAY(CA5,2),"S"&amp;(INT((CB5-Calendario!$B$4)/7)+1),"")</f>
        <v/>
      </c>
      <c r="CC4" s="22" t="str">
        <f>IF(WEEKDAY(CC5,2)&lt;WEEKDAY(CB5,2),"S"&amp;(INT((CC5-Calendario!$B$4)/7)+1),"")</f>
        <v/>
      </c>
    </row>
    <row r="5" spans="1:81" ht="39.75" customHeight="1" x14ac:dyDescent="0.35">
      <c r="A5" s="23" t="s">
        <v>15</v>
      </c>
      <c r="B5" s="23" t="s">
        <v>16</v>
      </c>
      <c r="C5" s="23" t="s">
        <v>114</v>
      </c>
      <c r="D5" s="23" t="s">
        <v>115</v>
      </c>
      <c r="E5" s="23" t="s">
        <v>116</v>
      </c>
      <c r="F5" s="23" t="s">
        <v>33</v>
      </c>
      <c r="G5" s="24">
        <f>Calendario!$B$4</f>
        <v>46272</v>
      </c>
      <c r="H5" s="24">
        <f t="shared" ref="H5:AM5" si="0">WORKDAY(G5,1)</f>
        <v>46273</v>
      </c>
      <c r="I5" s="24">
        <f t="shared" si="0"/>
        <v>46274</v>
      </c>
      <c r="J5" s="24">
        <f t="shared" si="0"/>
        <v>46275</v>
      </c>
      <c r="K5" s="24">
        <f t="shared" si="0"/>
        <v>46276</v>
      </c>
      <c r="L5" s="24">
        <f t="shared" si="0"/>
        <v>46279</v>
      </c>
      <c r="M5" s="24">
        <f t="shared" si="0"/>
        <v>46280</v>
      </c>
      <c r="N5" s="24">
        <f t="shared" si="0"/>
        <v>46281</v>
      </c>
      <c r="O5" s="24">
        <f t="shared" si="0"/>
        <v>46282</v>
      </c>
      <c r="P5" s="24">
        <f t="shared" si="0"/>
        <v>46283</v>
      </c>
      <c r="Q5" s="24">
        <f t="shared" si="0"/>
        <v>46286</v>
      </c>
      <c r="R5" s="24">
        <f t="shared" si="0"/>
        <v>46287</v>
      </c>
      <c r="S5" s="24">
        <f t="shared" si="0"/>
        <v>46288</v>
      </c>
      <c r="T5" s="24">
        <f t="shared" si="0"/>
        <v>46289</v>
      </c>
      <c r="U5" s="24">
        <f t="shared" si="0"/>
        <v>46290</v>
      </c>
      <c r="V5" s="24">
        <f t="shared" si="0"/>
        <v>46293</v>
      </c>
      <c r="W5" s="24">
        <f t="shared" si="0"/>
        <v>46294</v>
      </c>
      <c r="X5" s="24">
        <f t="shared" si="0"/>
        <v>46295</v>
      </c>
      <c r="Y5" s="24">
        <f t="shared" si="0"/>
        <v>46296</v>
      </c>
      <c r="Z5" s="24">
        <f t="shared" si="0"/>
        <v>46297</v>
      </c>
      <c r="AA5" s="24">
        <f t="shared" si="0"/>
        <v>46300</v>
      </c>
      <c r="AB5" s="24">
        <f t="shared" si="0"/>
        <v>46301</v>
      </c>
      <c r="AC5" s="24">
        <f t="shared" si="0"/>
        <v>46302</v>
      </c>
      <c r="AD5" s="24">
        <f t="shared" si="0"/>
        <v>46303</v>
      </c>
      <c r="AE5" s="24">
        <f t="shared" si="0"/>
        <v>46304</v>
      </c>
      <c r="AF5" s="24">
        <f t="shared" si="0"/>
        <v>46307</v>
      </c>
      <c r="AG5" s="24">
        <f t="shared" si="0"/>
        <v>46308</v>
      </c>
      <c r="AH5" s="24">
        <f t="shared" si="0"/>
        <v>46309</v>
      </c>
      <c r="AI5" s="24">
        <f t="shared" si="0"/>
        <v>46310</v>
      </c>
      <c r="AJ5" s="24">
        <f t="shared" si="0"/>
        <v>46311</v>
      </c>
      <c r="AK5" s="24">
        <f t="shared" si="0"/>
        <v>46314</v>
      </c>
      <c r="AL5" s="24">
        <f t="shared" si="0"/>
        <v>46315</v>
      </c>
      <c r="AM5" s="24">
        <f t="shared" si="0"/>
        <v>46316</v>
      </c>
      <c r="AN5" s="24">
        <f t="shared" ref="AN5:BS5" si="1">WORKDAY(AM5,1)</f>
        <v>46317</v>
      </c>
      <c r="AO5" s="24">
        <f t="shared" si="1"/>
        <v>46318</v>
      </c>
      <c r="AP5" s="24">
        <f t="shared" si="1"/>
        <v>46321</v>
      </c>
      <c r="AQ5" s="24">
        <f t="shared" si="1"/>
        <v>46322</v>
      </c>
      <c r="AR5" s="24">
        <f t="shared" si="1"/>
        <v>46323</v>
      </c>
      <c r="AS5" s="24">
        <f t="shared" si="1"/>
        <v>46324</v>
      </c>
      <c r="AT5" s="24">
        <f t="shared" si="1"/>
        <v>46325</v>
      </c>
      <c r="AU5" s="24">
        <f t="shared" si="1"/>
        <v>46328</v>
      </c>
      <c r="AV5" s="24">
        <f t="shared" si="1"/>
        <v>46329</v>
      </c>
      <c r="AW5" s="24">
        <f t="shared" si="1"/>
        <v>46330</v>
      </c>
      <c r="AX5" s="24">
        <f t="shared" si="1"/>
        <v>46331</v>
      </c>
      <c r="AY5" s="24">
        <f t="shared" si="1"/>
        <v>46332</v>
      </c>
      <c r="AZ5" s="24">
        <f t="shared" si="1"/>
        <v>46335</v>
      </c>
      <c r="BA5" s="24">
        <f t="shared" si="1"/>
        <v>46336</v>
      </c>
      <c r="BB5" s="24">
        <f t="shared" si="1"/>
        <v>46337</v>
      </c>
      <c r="BC5" s="24">
        <f t="shared" si="1"/>
        <v>46338</v>
      </c>
      <c r="BD5" s="24">
        <f t="shared" si="1"/>
        <v>46339</v>
      </c>
      <c r="BE5" s="24">
        <f t="shared" si="1"/>
        <v>46342</v>
      </c>
      <c r="BF5" s="24">
        <f t="shared" si="1"/>
        <v>46343</v>
      </c>
      <c r="BG5" s="24">
        <f t="shared" si="1"/>
        <v>46344</v>
      </c>
      <c r="BH5" s="24">
        <f t="shared" si="1"/>
        <v>46345</v>
      </c>
      <c r="BI5" s="24">
        <f t="shared" si="1"/>
        <v>46346</v>
      </c>
      <c r="BJ5" s="24">
        <f t="shared" si="1"/>
        <v>46349</v>
      </c>
      <c r="BK5" s="24">
        <f t="shared" si="1"/>
        <v>46350</v>
      </c>
      <c r="BL5" s="24">
        <f t="shared" si="1"/>
        <v>46351</v>
      </c>
      <c r="BM5" s="24">
        <f t="shared" si="1"/>
        <v>46352</v>
      </c>
      <c r="BN5" s="24">
        <f t="shared" si="1"/>
        <v>46353</v>
      </c>
      <c r="BO5" s="24">
        <f t="shared" si="1"/>
        <v>46356</v>
      </c>
      <c r="BP5" s="24">
        <f t="shared" si="1"/>
        <v>46357</v>
      </c>
      <c r="BQ5" s="24">
        <f t="shared" si="1"/>
        <v>46358</v>
      </c>
      <c r="BR5" s="24">
        <f t="shared" si="1"/>
        <v>46359</v>
      </c>
      <c r="BS5" s="24">
        <f t="shared" si="1"/>
        <v>46360</v>
      </c>
      <c r="BT5" s="24">
        <f t="shared" ref="BT5:CC5" si="2">WORKDAY(BS5,1)</f>
        <v>46363</v>
      </c>
      <c r="BU5" s="24">
        <f t="shared" si="2"/>
        <v>46364</v>
      </c>
      <c r="BV5" s="24">
        <f t="shared" si="2"/>
        <v>46365</v>
      </c>
      <c r="BW5" s="24">
        <f t="shared" si="2"/>
        <v>46366</v>
      </c>
      <c r="BX5" s="24">
        <f t="shared" si="2"/>
        <v>46367</v>
      </c>
      <c r="BY5" s="24">
        <f t="shared" si="2"/>
        <v>46370</v>
      </c>
      <c r="BZ5" s="24">
        <f t="shared" si="2"/>
        <v>46371</v>
      </c>
      <c r="CA5" s="24">
        <f t="shared" si="2"/>
        <v>46372</v>
      </c>
      <c r="CB5" s="24">
        <f t="shared" si="2"/>
        <v>46373</v>
      </c>
      <c r="CC5" s="24">
        <f t="shared" si="2"/>
        <v>46374</v>
      </c>
    </row>
    <row r="6" spans="1:81" x14ac:dyDescent="0.35">
      <c r="A6" s="25" t="str">
        <f>PERT!A6</f>
        <v>ACT-01</v>
      </c>
      <c r="B6" s="25" t="str">
        <f>PERT!B6</f>
        <v>Configurar el tablero Trello y planear el Sprint 0</v>
      </c>
      <c r="C6" s="26" t="str">
        <f>PERT!G6</f>
        <v>Israel</v>
      </c>
      <c r="D6" s="27">
        <f>PERT!T6</f>
        <v>46293</v>
      </c>
      <c r="E6" s="27">
        <f>PERT!U6</f>
        <v>46295</v>
      </c>
      <c r="F6" s="26" t="str">
        <f>PERT!S6</f>
        <v>Sí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</row>
    <row r="7" spans="1:81" x14ac:dyDescent="0.35">
      <c r="A7" s="25" t="str">
        <f>PERT!A7</f>
        <v>ACT-02</v>
      </c>
      <c r="B7" s="25" t="str">
        <f>PERT!B7</f>
        <v>Ordenar el repositorio GitHub, ramas y carpeta /portafolio</v>
      </c>
      <c r="C7" s="26" t="str">
        <f>PERT!G7</f>
        <v>Carlos</v>
      </c>
      <c r="D7" s="27">
        <f>PERT!T7</f>
        <v>46295</v>
      </c>
      <c r="E7" s="27">
        <f>PERT!U7</f>
        <v>46297</v>
      </c>
      <c r="F7" s="26" t="str">
        <f>PERT!S7</f>
        <v>No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</row>
    <row r="8" spans="1:81" x14ac:dyDescent="0.35">
      <c r="A8" s="25" t="str">
        <f>PERT!A8</f>
        <v>ACT-03</v>
      </c>
      <c r="B8" s="25" t="str">
        <f>PERT!B8</f>
        <v>Instalar y verificar Python, Tkinter, MySQL y VS Code</v>
      </c>
      <c r="C8" s="26" t="str">
        <f>PERT!G8</f>
        <v>Jesús</v>
      </c>
      <c r="D8" s="27">
        <f>PERT!T8</f>
        <v>46297</v>
      </c>
      <c r="E8" s="27">
        <f>PERT!U8</f>
        <v>46302</v>
      </c>
      <c r="F8" s="26" t="str">
        <f>PERT!S8</f>
        <v>No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</row>
    <row r="9" spans="1:81" x14ac:dyDescent="0.35">
      <c r="A9" s="25" t="str">
        <f>PERT!A9</f>
        <v>ACT-04</v>
      </c>
      <c r="B9" s="25" t="str">
        <f>PERT!B9</f>
        <v>Elaborar el modelo entidad-relación (Personal, Cliente y OrdenTrabajo)</v>
      </c>
      <c r="C9" s="26" t="str">
        <f>PERT!G9</f>
        <v>Antonio</v>
      </c>
      <c r="D9" s="27">
        <f>PERT!T9</f>
        <v>46295</v>
      </c>
      <c r="E9" s="27">
        <f>PERT!U9</f>
        <v>46297</v>
      </c>
      <c r="F9" s="26" t="str">
        <f>PERT!S9</f>
        <v>No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</row>
    <row r="10" spans="1:81" x14ac:dyDescent="0.35">
      <c r="A10" s="25" t="str">
        <f>PERT!A10</f>
        <v>ACT-05</v>
      </c>
      <c r="B10" s="25" t="str">
        <f>PERT!B10</f>
        <v>Diseñar el prototipo de pantallas Tkinter (inicio de sesión, clientes y órdenes)</v>
      </c>
      <c r="C10" s="26" t="str">
        <f>PERT!G10</f>
        <v>Carlos</v>
      </c>
      <c r="D10" s="27">
        <f>PERT!T10</f>
        <v>46295</v>
      </c>
      <c r="E10" s="27">
        <f>PERT!U10</f>
        <v>46303</v>
      </c>
      <c r="F10" s="26" t="str">
        <f>PERT!S10</f>
        <v>Sí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</row>
    <row r="11" spans="1:81" x14ac:dyDescent="0.35">
      <c r="A11" s="25" t="str">
        <f>PERT!A11</f>
        <v>ACT-06</v>
      </c>
      <c r="B11" s="25" t="str">
        <f>PERT!B11</f>
        <v>Validar modelo y prototipo con el PO y el cliente (demo Sprint 0)</v>
      </c>
      <c r="C11" s="26" t="str">
        <f>PERT!G11</f>
        <v>Jesús</v>
      </c>
      <c r="D11" s="27">
        <f>PERT!T11</f>
        <v>46303</v>
      </c>
      <c r="E11" s="27">
        <f>PERT!U11</f>
        <v>46310</v>
      </c>
      <c r="F11" s="26" t="str">
        <f>PERT!S11</f>
        <v>Sí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</row>
    <row r="12" spans="1:81" x14ac:dyDescent="0.35">
      <c r="A12" s="25" t="str">
        <f>PERT!A12</f>
        <v>ACT-07</v>
      </c>
      <c r="B12" s="25" t="str">
        <f>PERT!B12</f>
        <v>Crear scripts SQL de usuarios, roles y clientes</v>
      </c>
      <c r="C12" s="26" t="str">
        <f>PERT!G12</f>
        <v>Omar</v>
      </c>
      <c r="D12" s="27">
        <f>PERT!T12</f>
        <v>46310</v>
      </c>
      <c r="E12" s="27">
        <f>PERT!U12</f>
        <v>46315</v>
      </c>
      <c r="F12" s="26" t="str">
        <f>PERT!S12</f>
        <v>Sí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</row>
    <row r="13" spans="1:81" x14ac:dyDescent="0.35">
      <c r="A13" s="25" t="str">
        <f>PERT!A13</f>
        <v>ACT-08</v>
      </c>
      <c r="B13" s="25" t="str">
        <f>PERT!B13</f>
        <v>Programar el inicio de sesión con roles</v>
      </c>
      <c r="C13" s="26" t="str">
        <f>PERT!G13</f>
        <v>Antonio</v>
      </c>
      <c r="D13" s="27">
        <f>PERT!T13</f>
        <v>46315</v>
      </c>
      <c r="E13" s="27">
        <f>PERT!U13</f>
        <v>46323</v>
      </c>
      <c r="F13" s="26" t="str">
        <f>PERT!S13</f>
        <v>No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</row>
    <row r="14" spans="1:81" x14ac:dyDescent="0.35">
      <c r="A14" s="25" t="str">
        <f>PERT!A14</f>
        <v>ACT-09</v>
      </c>
      <c r="B14" s="25" t="str">
        <f>PERT!B14</f>
        <v>Programar la interfaz y el CRUD de clientes</v>
      </c>
      <c r="C14" s="26" t="str">
        <f>PERT!G14</f>
        <v>Carlos</v>
      </c>
      <c r="D14" s="27">
        <f>PERT!T14</f>
        <v>46315</v>
      </c>
      <c r="E14" s="27">
        <f>PERT!U14</f>
        <v>46321</v>
      </c>
      <c r="F14" s="26" t="str">
        <f>PERT!S14</f>
        <v>No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</row>
    <row r="15" spans="1:81" x14ac:dyDescent="0.35">
      <c r="A15" s="25" t="str">
        <f>PERT!A15</f>
        <v>ACT-10</v>
      </c>
      <c r="B15" s="25" t="str">
        <f>PERT!B15</f>
        <v>Programar la búsqueda y los filtros de clientes</v>
      </c>
      <c r="C15" s="26" t="str">
        <f>PERT!G15</f>
        <v>Antonio</v>
      </c>
      <c r="D15" s="27">
        <f>PERT!T15</f>
        <v>46322</v>
      </c>
      <c r="E15" s="27">
        <f>PERT!U15</f>
        <v>46329</v>
      </c>
      <c r="F15" s="26" t="str">
        <f>PERT!S15</f>
        <v>No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</row>
    <row r="16" spans="1:81" x14ac:dyDescent="0.35">
      <c r="A16" s="25" t="str">
        <f>PERT!A16</f>
        <v>ACT-11</v>
      </c>
      <c r="B16" s="25" t="str">
        <f>PERT!B16</f>
        <v>Crear el script SQL de la tabla de órdenes de servicio (OrdenTrabajo)</v>
      </c>
      <c r="C16" s="26" t="str">
        <f>PERT!G16</f>
        <v>Omar</v>
      </c>
      <c r="D16" s="27">
        <f>PERT!T16</f>
        <v>46315</v>
      </c>
      <c r="E16" s="27">
        <f>PERT!U16</f>
        <v>46322</v>
      </c>
      <c r="F16" s="26" t="str">
        <f>PERT!S16</f>
        <v>Sí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</row>
    <row r="17" spans="1:81" x14ac:dyDescent="0.35">
      <c r="A17" s="25" t="str">
        <f>PERT!A17</f>
        <v>ACT-12</v>
      </c>
      <c r="B17" s="25" t="str">
        <f>PERT!B17</f>
        <v>Programar el registro de órdenes (monto total y anticipo capturados a mano)</v>
      </c>
      <c r="C17" s="26" t="str">
        <f>PERT!G17</f>
        <v>Carlos</v>
      </c>
      <c r="D17" s="27">
        <f>PERT!T17</f>
        <v>46322</v>
      </c>
      <c r="E17" s="27">
        <f>PERT!U17</f>
        <v>46329</v>
      </c>
      <c r="F17" s="26" t="str">
        <f>PERT!S17</f>
        <v>Sí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</row>
    <row r="18" spans="1:81" x14ac:dyDescent="0.35">
      <c r="A18" s="25" t="str">
        <f>PERT!A18</f>
        <v>ACT-13</v>
      </c>
      <c r="B18" s="25" t="str">
        <f>PERT!B18</f>
        <v>Programar la asignación de técnicos y fechas a cada orden</v>
      </c>
      <c r="C18" s="26" t="str">
        <f>PERT!G18</f>
        <v>Omar</v>
      </c>
      <c r="D18" s="27">
        <f>PERT!T18</f>
        <v>46329</v>
      </c>
      <c r="E18" s="27">
        <f>PERT!U18</f>
        <v>46335</v>
      </c>
      <c r="F18" s="26" t="str">
        <f>PERT!S18</f>
        <v>No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</row>
    <row r="19" spans="1:81" x14ac:dyDescent="0.35">
      <c r="A19" s="25" t="str">
        <f>PERT!A19</f>
        <v>ACT-14</v>
      </c>
      <c r="B19" s="25" t="str">
        <f>PERT!B19</f>
        <v>Programar el seguimiento de estatus: actualizar, registrar conclusión y cancelar</v>
      </c>
      <c r="C19" s="26" t="str">
        <f>PERT!G19</f>
        <v>Carlos</v>
      </c>
      <c r="D19" s="27">
        <f>PERT!T19</f>
        <v>46329</v>
      </c>
      <c r="E19" s="27">
        <f>PERT!U19</f>
        <v>46335</v>
      </c>
      <c r="F19" s="26" t="str">
        <f>PERT!S19</f>
        <v>No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</row>
    <row r="20" spans="1:81" x14ac:dyDescent="0.35">
      <c r="A20" s="25" t="str">
        <f>PERT!A20</f>
        <v>ACT-15</v>
      </c>
      <c r="B20" s="25" t="str">
        <f>PERT!B20</f>
        <v>Programar el historial de órdenes por cliente y los filtros por estatus y técnico</v>
      </c>
      <c r="C20" s="26" t="str">
        <f>PERT!G20</f>
        <v>Antonio</v>
      </c>
      <c r="D20" s="27">
        <f>PERT!T20</f>
        <v>46329</v>
      </c>
      <c r="E20" s="27">
        <f>PERT!U20</f>
        <v>46335</v>
      </c>
      <c r="F20" s="26" t="str">
        <f>PERT!S20</f>
        <v>Sí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</row>
    <row r="21" spans="1:81" x14ac:dyDescent="0.35">
      <c r="A21" s="25" t="str">
        <f>PERT!A21</f>
        <v>ACT-16</v>
      </c>
      <c r="B21" s="25" t="str">
        <f>PERT!B21</f>
        <v>Restringir las acciones sobre las órdenes según el rol</v>
      </c>
      <c r="C21" s="26" t="str">
        <f>PERT!G21</f>
        <v>Omar</v>
      </c>
      <c r="D21" s="27">
        <f>PERT!T21</f>
        <v>46329</v>
      </c>
      <c r="E21" s="27">
        <f>PERT!U21</f>
        <v>46335</v>
      </c>
      <c r="F21" s="26" t="str">
        <f>PERT!S21</f>
        <v>Sí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</row>
    <row r="22" spans="1:81" x14ac:dyDescent="0.35">
      <c r="A22" s="25" t="str">
        <f>PERT!A22</f>
        <v>ACT-17</v>
      </c>
      <c r="B22" s="25" t="str">
        <f>PERT!B22</f>
        <v>Demo del MVP y firma del acta con el dueño</v>
      </c>
      <c r="C22" s="26" t="str">
        <f>PERT!G22</f>
        <v>Jesús</v>
      </c>
      <c r="D22" s="27">
        <f>PERT!T22</f>
        <v>46336</v>
      </c>
      <c r="E22" s="27">
        <f>PERT!U22</f>
        <v>46339</v>
      </c>
      <c r="F22" s="26" t="str">
        <f>PERT!S22</f>
        <v>No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</row>
    <row r="23" spans="1:81" x14ac:dyDescent="0.35">
      <c r="A23" s="25" t="str">
        <f>PERT!A23</f>
        <v>ACT-18</v>
      </c>
      <c r="B23" s="25" t="str">
        <f>PERT!B23</f>
        <v>Redactar el plan y los casos de prueba</v>
      </c>
      <c r="C23" s="26" t="str">
        <f>PERT!G23</f>
        <v>Israel</v>
      </c>
      <c r="D23" s="27">
        <f>PERT!T23</f>
        <v>46329</v>
      </c>
      <c r="E23" s="27">
        <f>PERT!U23</f>
        <v>46335</v>
      </c>
      <c r="F23" s="26" t="str">
        <f>PERT!S23</f>
        <v>No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</row>
    <row r="24" spans="1:81" x14ac:dyDescent="0.35">
      <c r="A24" s="25" t="str">
        <f>PERT!A24</f>
        <v>ACT-19</v>
      </c>
      <c r="B24" s="25" t="str">
        <f>PERT!B24</f>
        <v>Ejecutar las pruebas de acceso por rol</v>
      </c>
      <c r="C24" s="26" t="str">
        <f>PERT!G24</f>
        <v>Jesús</v>
      </c>
      <c r="D24" s="27">
        <f>PERT!T24</f>
        <v>46336</v>
      </c>
      <c r="E24" s="27">
        <f>PERT!U24</f>
        <v>46343</v>
      </c>
      <c r="F24" s="26" t="str">
        <f>PERT!S24</f>
        <v>Sí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</row>
    <row r="25" spans="1:81" x14ac:dyDescent="0.35">
      <c r="A25" s="25" t="str">
        <f>PERT!A25</f>
        <v>ACT-20</v>
      </c>
      <c r="B25" s="25" t="str">
        <f>PERT!B25</f>
        <v>Cronometrar la búsqueda de clientes y el registro de órdenes</v>
      </c>
      <c r="C25" s="26" t="str">
        <f>PERT!G25</f>
        <v>Israel</v>
      </c>
      <c r="D25" s="27">
        <f>PERT!T25</f>
        <v>46336</v>
      </c>
      <c r="E25" s="27">
        <f>PERT!U25</f>
        <v>46343</v>
      </c>
      <c r="F25" s="26" t="str">
        <f>PERT!S25</f>
        <v>Sí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</row>
    <row r="26" spans="1:81" x14ac:dyDescent="0.35">
      <c r="A26" s="25" t="str">
        <f>PERT!A26</f>
        <v>ACT-21</v>
      </c>
      <c r="B26" s="25" t="str">
        <f>PERT!B26</f>
        <v>Corregir los defectos encontrados</v>
      </c>
      <c r="C26" s="26" t="str">
        <f>PERT!G26</f>
        <v>Antonio</v>
      </c>
      <c r="D26" s="27">
        <f>PERT!T26</f>
        <v>46343</v>
      </c>
      <c r="E26" s="27">
        <f>PERT!U26</f>
        <v>46350</v>
      </c>
      <c r="F26" s="26" t="str">
        <f>PERT!S26</f>
        <v>Sí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</row>
    <row r="27" spans="1:81" x14ac:dyDescent="0.35">
      <c r="A27" s="25" t="str">
        <f>PERT!A27</f>
        <v>ACT-22</v>
      </c>
      <c r="B27" s="25" t="str">
        <f>PERT!B27</f>
        <v>Redactar el manual de usuario</v>
      </c>
      <c r="C27" s="26" t="str">
        <f>PERT!G27</f>
        <v>Israel</v>
      </c>
      <c r="D27" s="27">
        <f>PERT!T27</f>
        <v>46343</v>
      </c>
      <c r="E27" s="27">
        <f>PERT!U27</f>
        <v>46350</v>
      </c>
      <c r="F27" s="26" t="str">
        <f>PERT!S27</f>
        <v>No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</row>
    <row r="28" spans="1:81" x14ac:dyDescent="0.35">
      <c r="A28" s="25" t="str">
        <f>PERT!A28</f>
        <v>ACT-23</v>
      </c>
      <c r="B28" s="25" t="str">
        <f>PERT!B28</f>
        <v>Capacitar al personal de Eclipse Comunicaciones</v>
      </c>
      <c r="C28" s="26" t="str">
        <f>PERT!G28</f>
        <v>Israel</v>
      </c>
      <c r="D28" s="27">
        <f>PERT!T28</f>
        <v>46350</v>
      </c>
      <c r="E28" s="27">
        <f>PERT!U28</f>
        <v>46356</v>
      </c>
      <c r="F28" s="26" t="str">
        <f>PERT!S28</f>
        <v>Sí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</row>
    <row r="29" spans="1:81" x14ac:dyDescent="0.35">
      <c r="A29" s="25" t="str">
        <f>PERT!A29</f>
        <v>ACT-24</v>
      </c>
      <c r="B29" s="25" t="str">
        <f>PERT!B29</f>
        <v>Entregar la versión final y recabar el acta</v>
      </c>
      <c r="C29" s="26" t="str">
        <f>PERT!G29</f>
        <v>Jesús</v>
      </c>
      <c r="D29" s="27">
        <f>PERT!T29</f>
        <v>46356</v>
      </c>
      <c r="E29" s="27">
        <f>PERT!U29</f>
        <v>46359</v>
      </c>
      <c r="F29" s="26" t="str">
        <f>PERT!S29</f>
        <v>Sí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</row>
    <row r="30" spans="1:81" x14ac:dyDescent="0.35">
      <c r="A30" s="25" t="str">
        <f>PERT!A30</f>
        <v>ACT-25</v>
      </c>
      <c r="B30" s="25" t="str">
        <f>PERT!B30</f>
        <v>Retrospectiva final y presentación del proyecto</v>
      </c>
      <c r="C30" s="26" t="str">
        <f>PERT!G30</f>
        <v>Israel</v>
      </c>
      <c r="D30" s="27">
        <f>PERT!T30</f>
        <v>46359</v>
      </c>
      <c r="E30" s="27">
        <f>PERT!U30</f>
        <v>46364</v>
      </c>
      <c r="F30" s="26" t="str">
        <f>PERT!S30</f>
        <v>Sí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</row>
    <row r="32" spans="1:81" x14ac:dyDescent="0.35">
      <c r="B32" s="5" t="s">
        <v>117</v>
      </c>
    </row>
    <row r="33" spans="1:81" x14ac:dyDescent="0.35">
      <c r="A33" s="29" t="s">
        <v>118</v>
      </c>
      <c r="B33" s="29" t="s">
        <v>119</v>
      </c>
      <c r="C33" s="30" t="s">
        <v>120</v>
      </c>
      <c r="D33" s="31">
        <v>46318</v>
      </c>
      <c r="E33" s="32">
        <f>D33</f>
        <v>46318</v>
      </c>
      <c r="F33" s="30" t="s">
        <v>121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</row>
    <row r="34" spans="1:81" x14ac:dyDescent="0.35">
      <c r="A34" s="29" t="s">
        <v>122</v>
      </c>
      <c r="B34" s="29" t="s">
        <v>123</v>
      </c>
      <c r="C34" s="30" t="s">
        <v>120</v>
      </c>
      <c r="D34" s="31">
        <v>46325</v>
      </c>
      <c r="E34" s="32">
        <f>D34</f>
        <v>46325</v>
      </c>
      <c r="F34" s="30" t="s">
        <v>121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</row>
    <row r="35" spans="1:81" x14ac:dyDescent="0.35">
      <c r="A35" s="29" t="s">
        <v>124</v>
      </c>
      <c r="B35" s="29" t="s">
        <v>125</v>
      </c>
      <c r="C35" s="30" t="s">
        <v>120</v>
      </c>
      <c r="D35" s="31">
        <v>46339</v>
      </c>
      <c r="E35" s="32">
        <f>D35</f>
        <v>46339</v>
      </c>
      <c r="F35" s="30" t="s">
        <v>121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</row>
    <row r="36" spans="1:81" x14ac:dyDescent="0.35">
      <c r="A36" s="29" t="s">
        <v>126</v>
      </c>
      <c r="B36" s="29" t="s">
        <v>127</v>
      </c>
      <c r="C36" s="30" t="s">
        <v>120</v>
      </c>
      <c r="D36" s="31">
        <v>46353</v>
      </c>
      <c r="E36" s="32">
        <f>D36</f>
        <v>46353</v>
      </c>
      <c r="F36" s="30" t="s">
        <v>121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</row>
    <row r="37" spans="1:81" x14ac:dyDescent="0.35">
      <c r="A37" s="29" t="s">
        <v>128</v>
      </c>
      <c r="B37" s="29" t="s">
        <v>129</v>
      </c>
      <c r="C37" s="30" t="s">
        <v>120</v>
      </c>
      <c r="D37" s="31">
        <v>46374</v>
      </c>
      <c r="E37" s="32">
        <f>D37</f>
        <v>46374</v>
      </c>
      <c r="F37" s="30" t="s">
        <v>121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</row>
  </sheetData>
  <conditionalFormatting sqref="G6:CC37">
    <cfRule type="expression" dxfId="2" priority="3">
      <formula>AND($F6="Hito",G$5&gt;=$D6,G$5&lt;=$E6)</formula>
    </cfRule>
    <cfRule type="expression" dxfId="1" priority="4">
      <formula>AND($F6="Sí",ISNUMBER($D6),G$5&gt;=$D6,G$5&lt;=$E6)</formula>
    </cfRule>
    <cfRule type="expression" dxfId="0" priority="5">
      <formula>AND($F6&lt;&gt;"Hito",ISNUMBER($D6),G$5&gt;=$D6,G$5&lt;=$E6)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COUNTIF(Calendario!$B$8:$B$10,G$5)&gt;0</xm:f>
            <x14:dxf>
              <fill>
                <patternFill>
                  <bgColor rgb="FFA6A6A6"/>
                </patternFill>
              </fill>
            </x14:dxf>
          </x14:cfRule>
          <xm:sqref>G5:CC37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"/>
  <sheetViews>
    <sheetView zoomScaleNormal="100" workbookViewId="0"/>
  </sheetViews>
  <sheetFormatPr baseColWidth="10" defaultColWidth="8.6328125" defaultRowHeight="14.5" x14ac:dyDescent="0.35"/>
  <cols>
    <col min="1" max="1" width="48" customWidth="1"/>
    <col min="2" max="2" width="16" customWidth="1"/>
    <col min="3" max="3" width="90" customWidth="1"/>
  </cols>
  <sheetData>
    <row r="1" spans="1:3" ht="16.5" x14ac:dyDescent="0.35">
      <c r="A1" s="3" t="s">
        <v>130</v>
      </c>
    </row>
    <row r="2" spans="1:3" x14ac:dyDescent="0.35">
      <c r="A2" s="33" t="s">
        <v>131</v>
      </c>
      <c r="B2" s="33" t="s">
        <v>132</v>
      </c>
      <c r="C2" s="33" t="s">
        <v>133</v>
      </c>
    </row>
    <row r="3" spans="1:3" x14ac:dyDescent="0.35">
      <c r="A3" s="6" t="s">
        <v>134</v>
      </c>
      <c r="B3" s="34">
        <v>46293</v>
      </c>
      <c r="C3" s="6" t="s">
        <v>135</v>
      </c>
    </row>
    <row r="4" spans="1:3" x14ac:dyDescent="0.35">
      <c r="A4" s="6" t="s">
        <v>136</v>
      </c>
      <c r="B4" s="35">
        <v>46272</v>
      </c>
      <c r="C4" s="6" t="s">
        <v>137</v>
      </c>
    </row>
    <row r="5" spans="1:3" x14ac:dyDescent="0.35">
      <c r="A5" s="6" t="s">
        <v>138</v>
      </c>
      <c r="B5" s="36">
        <v>15</v>
      </c>
      <c r="C5" s="6" t="s">
        <v>137</v>
      </c>
    </row>
    <row r="6" spans="1:3" x14ac:dyDescent="0.35">
      <c r="A6" s="6" t="s">
        <v>139</v>
      </c>
      <c r="B6" s="37">
        <f>B4+14*7+4</f>
        <v>46374</v>
      </c>
      <c r="C6" s="6" t="s">
        <v>140</v>
      </c>
    </row>
    <row r="7" spans="1:3" x14ac:dyDescent="0.35">
      <c r="A7" s="5" t="s">
        <v>141</v>
      </c>
    </row>
    <row r="8" spans="1:3" x14ac:dyDescent="0.35">
      <c r="A8" s="6" t="s">
        <v>142</v>
      </c>
      <c r="B8" s="35">
        <v>46281</v>
      </c>
      <c r="C8" s="6" t="s">
        <v>137</v>
      </c>
    </row>
    <row r="9" spans="1:3" x14ac:dyDescent="0.35">
      <c r="A9" s="6" t="s">
        <v>143</v>
      </c>
      <c r="B9" s="35">
        <v>46328</v>
      </c>
      <c r="C9" s="6" t="s">
        <v>137</v>
      </c>
    </row>
    <row r="10" spans="1:3" x14ac:dyDescent="0.35">
      <c r="A10" s="6" t="s">
        <v>144</v>
      </c>
      <c r="B10" s="35">
        <v>46342</v>
      </c>
      <c r="C10" s="6" t="s">
        <v>137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Léeme</vt:lpstr>
      <vt:lpstr>PERT</vt:lpstr>
      <vt:lpstr>Gantt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 Mtz</cp:lastModifiedBy>
  <cp:revision>0</cp:revision>
  <dcterms:created xsi:type="dcterms:W3CDTF">2026-10-25T20:07:45Z</dcterms:created>
  <dcterms:modified xsi:type="dcterms:W3CDTF">2026-10-25T20:29:46Z</dcterms:modified>
  <dc:language>en-US</dc:language>
</cp:coreProperties>
</file>